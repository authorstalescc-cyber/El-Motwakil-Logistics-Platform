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فيل اليوم" sheetId="1" state="visible" r:id="rId1"/>
    <sheet xmlns:r="http://schemas.openxmlformats.org/officeDocument/2006/relationships" name="سجل اليومية" sheetId="2" state="visible" r:id="rId2"/>
    <sheet xmlns:r="http://schemas.openxmlformats.org/officeDocument/2006/relationships" name="العهد والرحلات" sheetId="3" state="visible" r:id="rId3"/>
    <sheet xmlns:r="http://schemas.openxmlformats.org/officeDocument/2006/relationships" name="الإيصالات" sheetId="4" state="visible" r:id="rId4"/>
    <sheet xmlns:r="http://schemas.openxmlformats.org/officeDocument/2006/relationships" name="الإعدادات" sheetId="5" state="visible" r:id="rId5"/>
    <sheet xmlns:r="http://schemas.openxmlformats.org/officeDocument/2006/relationships" name="الدليل" sheetId="6" state="visible" r:id="rId6"/>
  </sheets>
  <definedNames>
    <definedName name="رصيد_افتتاحي">'الإعدادات'!$B$4</definedName>
    <definedName name="قائمة_شركات_الشحن">'الإعدادات'!$D$4:$D$203</definedName>
    <definedName name="قائمة_التوكيلات">'الإعدادات'!$E$4:$E$203</definedName>
    <definedName name="قائمة_الموانئ">'الإعدادات'!$F$4:$F$203</definedName>
    <definedName name="قائمة_الشركات">'الإعدادات'!$H$4:$H$203</definedName>
    <definedName name="قائمة_الجهات">'الإعدادات'!$I$4:$I$203</definedName>
    <definedName name="قائمة_الملاك">'الإعدادات'!$J$4:$J$203</definedName>
    <definedName name="_xlnm._FilterDatabase" localSheetId="1" hidden="1">'سجل اليومية'!$A$3:$J$503</definedName>
    <definedName name="_xlnm._FilterDatabase" localSheetId="2" hidden="1">'العهد والرحلات'!$A$3:$J$2003</definedName>
    <definedName name="_xlnm._FilterDatabase" localSheetId="3" hidden="1">'الإيصالات'!$A$3:$D$2003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 &quot;ج.م&quot;"/>
    <numFmt numFmtId="166" formatCode="#,##0.00 &quot;ج.م&quot;"/>
  </numFmts>
  <fonts count="23">
    <font>
      <name val="Calibri"/>
      <family val="2"/>
      <color theme="1"/>
      <sz val="11"/>
      <scheme val="minor"/>
    </font>
    <font>
      <name val="Arial"/>
      <b val="1"/>
      <color rgb="FFC9A227"/>
      <sz val="20"/>
    </font>
    <font>
      <name val="Arial"/>
      <color rgb="FFFFFFFF"/>
      <sz val="11"/>
    </font>
    <font>
      <name val="Arial"/>
      <b val="1"/>
      <color rgb="FFFFFFFF"/>
    </font>
    <font>
      <name val="Arial"/>
      <b val="1"/>
      <color rgb="FF1A2433"/>
    </font>
    <font>
      <name val="Arial"/>
      <b val="1"/>
      <color rgb="FF1E6E3C"/>
    </font>
    <font>
      <name val="Arial"/>
      <color rgb="FF1A2433"/>
      <sz val="10"/>
    </font>
    <font>
      <name val="Arial"/>
      <b val="1"/>
      <color rgb="FFFFFFFF"/>
      <sz val="10"/>
    </font>
    <font>
      <name val="Arial"/>
      <i val="1"/>
      <color rgb="FF1A2433"/>
      <sz val="10"/>
    </font>
    <font>
      <name val="Arial"/>
      <b val="1"/>
      <color rgb="FFC9A227"/>
      <sz val="10"/>
    </font>
    <font>
      <name val="Arial"/>
      <b val="1"/>
      <color rgb="FFFFFFFF"/>
      <sz val="12"/>
    </font>
    <font>
      <name val="Arial"/>
      <b val="1"/>
      <color rgb="FF1E6E3C"/>
      <sz val="14"/>
    </font>
    <font>
      <name val="Arial"/>
      <b val="1"/>
      <color rgb="FFFFFFFF"/>
      <sz val="11"/>
    </font>
    <font>
      <name val="Arial"/>
      <b val="1"/>
      <color rgb="FF5B3E7A"/>
      <sz val="12"/>
    </font>
    <font>
      <name val="Arial"/>
      <b val="1"/>
      <color rgb="FF1E6E3C"/>
      <sz val="12"/>
    </font>
    <font>
      <name val="Arial"/>
      <b val="1"/>
      <color rgb="FF14746F"/>
      <sz val="13"/>
    </font>
    <font>
      <name val="Arial"/>
      <b val="1"/>
      <color rgb="FFFFFFFF"/>
      <sz val="9"/>
    </font>
    <font>
      <name val="Arial"/>
      <b val="1"/>
      <color rgb="FFC9A227"/>
    </font>
    <font>
      <name val="Arial"/>
      <b val="1"/>
      <color rgb="FF14746F"/>
      <sz val="14"/>
    </font>
    <font>
      <name val="Arial"/>
      <b val="1"/>
      <color rgb="FF9B2C2C"/>
      <sz val="11"/>
    </font>
    <font>
      <name val="Arial"/>
      <b val="1"/>
      <color rgb="FF9B2C2C"/>
      <sz val="14"/>
    </font>
    <font>
      <name val="Arial"/>
      <b val="1"/>
      <color rgb="FFC9A227"/>
      <sz val="14"/>
    </font>
    <font>
      <name val="Arial"/>
      <b val="1"/>
      <color rgb="FF15355B"/>
      <sz val="10"/>
    </font>
  </fonts>
  <fills count="16">
    <fill>
      <patternFill/>
    </fill>
    <fill>
      <patternFill patternType="gray125"/>
    </fill>
    <fill>
      <patternFill patternType="solid">
        <fgColor rgb="FF15355B"/>
      </patternFill>
    </fill>
    <fill>
      <patternFill patternType="solid">
        <fgColor rgb="FF1E4B7A"/>
      </patternFill>
    </fill>
    <fill>
      <patternFill patternType="solid">
        <fgColor rgb="FFEAF0F6"/>
      </patternFill>
    </fill>
    <fill>
      <patternFill patternType="solid">
        <fgColor rgb="FFFFFDF3"/>
      </patternFill>
    </fill>
    <fill>
      <patternFill patternType="solid">
        <fgColor rgb="FFC9A227"/>
      </patternFill>
    </fill>
    <fill>
      <patternFill patternType="solid">
        <fgColor rgb="FF14746F"/>
      </patternFill>
    </fill>
    <fill>
      <patternFill patternType="solid">
        <fgColor rgb="FFEDF2F8"/>
      </patternFill>
    </fill>
    <fill>
      <patternFill patternType="solid">
        <fgColor rgb="FFF7F9FB"/>
      </patternFill>
    </fill>
    <fill>
      <patternFill patternType="solid">
        <fgColor rgb="FF5B3E7A"/>
      </patternFill>
    </fill>
    <fill>
      <patternFill patternType="solid">
        <fgColor rgb="FF1E6E3C"/>
      </patternFill>
    </fill>
    <fill>
      <patternFill patternType="solid">
        <fgColor rgb="FF9B2C2C"/>
      </patternFill>
    </fill>
    <fill>
      <patternFill patternType="solid">
        <fgColor rgb="FFFFFFFF"/>
      </patternFill>
    </fill>
    <fill>
      <patternFill patternType="solid">
        <fgColor rgb="FFF3E9C6"/>
      </patternFill>
    </fill>
    <fill>
      <patternFill patternType="solid">
        <fgColor rgb="FFF6E4E4"/>
      </patternFill>
    </fill>
  </fills>
  <borders count="10">
    <border>
      <left/>
      <right/>
      <top/>
      <bottom/>
      <diagonal/>
    </border>
    <border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</border>
    <border>
      <left style="thin">
        <color rgb="FFFFFFFF"/>
      </left>
      <right style="thin">
        <color rgb="FFFFFFFF"/>
      </right>
      <top style="thin">
        <color rgb="FFD5DBE2"/>
      </top>
      <bottom style="medium">
        <color rgb="FFC9A227"/>
      </bottom>
    </border>
    <border>
      <top style="double">
        <color rgb="FFC9A227"/>
      </top>
    </border>
    <border>
      <left/>
      <right/>
      <top style="thin">
        <color rgb="FFD5DBE2"/>
      </top>
      <bottom/>
      <diagonal/>
    </border>
    <border>
      <left/>
      <right style="thin">
        <color rgb="FFD5DBE2"/>
      </right>
      <top style="thin">
        <color rgb="FFD5DBE2"/>
      </top>
      <bottom/>
      <diagonal/>
    </border>
    <border>
      <left/>
      <right style="thin">
        <color rgb="FFD5DBE2"/>
      </right>
      <top style="thin">
        <color rgb="FFD5DBE2"/>
      </top>
      <bottom style="thin">
        <color rgb="FFD5DBE2"/>
      </bottom>
      <diagonal/>
    </border>
    <border>
      <bottom style="medium">
        <color rgb="FF1A2433"/>
      </bottom>
    </border>
    <border>
      <left/>
      <right/>
      <top style="thin">
        <color rgb="FFD5DBE2"/>
      </top>
      <bottom style="thin">
        <color rgb="FFD5DBE2"/>
      </bottom>
      <diagonal/>
    </border>
    <border>
      <left/>
      <right/>
      <top/>
      <bottom style="medium">
        <color rgb="FF1A2433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164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5" fontId="13" fillId="13" borderId="1" applyAlignment="1" pivotButton="0" quotePrefix="0" xfId="0">
      <alignment horizontal="center" vertical="center"/>
    </xf>
    <xf numFmtId="0" fontId="0" fillId="0" borderId="6" pivotButton="0" quotePrefix="0" xfId="0"/>
    <xf numFmtId="0" fontId="12" fillId="10" borderId="1" applyAlignment="1" pivotButton="0" quotePrefix="0" xfId="0">
      <alignment horizontal="center" vertical="center"/>
    </xf>
    <xf numFmtId="165" fontId="14" fillId="13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5" fontId="15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166" fontId="17" fillId="2" borderId="3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right" vertical="center" indent="1"/>
    </xf>
    <xf numFmtId="165" fontId="18" fillId="14" borderId="1" applyAlignment="1" pivotButton="0" quotePrefix="0" xfId="0">
      <alignment horizontal="center" vertical="center"/>
    </xf>
    <xf numFmtId="165" fontId="19" fillId="1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165" fontId="20" fillId="15" borderId="1" applyAlignment="1" pivotButton="0" quotePrefix="0" xfId="0">
      <alignment horizontal="center" vertical="center"/>
    </xf>
    <xf numFmtId="165" fontId="21" fillId="1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0" applyAlignment="1" pivotButton="0" quotePrefix="0" xfId="0">
      <alignment horizontal="right" vertical="center" indent="1"/>
    </xf>
    <xf numFmtId="0" fontId="7" fillId="2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 indent="1"/>
    </xf>
    <xf numFmtId="165" fontId="5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right" vertical="center" indent="1"/>
    </xf>
    <xf numFmtId="0" fontId="22" fillId="4" borderId="1" applyAlignment="1" pivotButton="0" quotePrefix="0" xfId="0">
      <alignment horizontal="right" vertical="center" wrapText="1" indent="1"/>
    </xf>
    <xf numFmtId="0" fontId="6" fillId="0" borderId="1" applyAlignment="1" pivotButton="0" quotePrefix="0" xfId="0">
      <alignment horizontal="right" vertical="center" wrapText="1" indent="1"/>
    </xf>
    <xf numFmtId="0" fontId="10" fillId="6" borderId="0" applyAlignment="1" pivotButton="0" quotePrefix="0" xfId="0">
      <alignment horizontal="right" vertical="center" indent="1"/>
    </xf>
    <xf numFmtId="0" fontId="0" fillId="6" borderId="0" pivotButton="0" quotePrefix="0" xfId="0"/>
    <xf numFmtId="0" fontId="10" fillId="12" borderId="0" applyAlignment="1" pivotButton="0" quotePrefix="0" xfId="0">
      <alignment horizontal="right" vertical="center" indent="1"/>
    </xf>
    <xf numFmtId="0" fontId="0" fillId="12" borderId="0" pivotButton="0" quotePrefix="0" xfId="0"/>
    <xf numFmtId="164" fontId="11" fillId="5" borderId="1" applyAlignment="1" pivotButton="0" quotePrefix="0" xfId="0">
      <alignment horizontal="center" vertical="center"/>
    </xf>
    <xf numFmtId="165" fontId="13" fillId="13" borderId="1" applyAlignment="1" pivotButton="0" quotePrefix="0" xfId="0">
      <alignment horizontal="center" vertical="center"/>
    </xf>
    <xf numFmtId="165" fontId="14" fillId="13" borderId="1" applyAlignment="1" pivotButton="0" quotePrefix="0" xfId="0">
      <alignment horizontal="center" vertical="center"/>
    </xf>
    <xf numFmtId="165" fontId="15" fillId="14" borderId="1" applyAlignment="1" pivotButton="0" quotePrefix="0" xfId="0">
      <alignment horizontal="center" vertical="center"/>
    </xf>
    <xf numFmtId="0" fontId="0" fillId="0" borderId="8" pivotButton="0" quotePrefix="0" xfId="0"/>
    <xf numFmtId="165" fontId="18" fillId="14" borderId="1" applyAlignment="1" pivotButton="0" quotePrefix="0" xfId="0">
      <alignment horizontal="center" vertical="center"/>
    </xf>
    <xf numFmtId="165" fontId="19" fillId="13" borderId="1" applyAlignment="1" pivotButton="0" quotePrefix="0" xfId="0">
      <alignment horizontal="center" vertical="center"/>
    </xf>
    <xf numFmtId="165" fontId="20" fillId="15" borderId="1" applyAlignment="1" pivotButton="0" quotePrefix="0" xfId="0">
      <alignment horizontal="center" vertical="center"/>
    </xf>
    <xf numFmtId="165" fontId="21" fillId="14" borderId="1" applyAlignment="1" pivotButton="0" quotePrefix="0" xfId="0">
      <alignment horizontal="center" vertical="center"/>
    </xf>
    <xf numFmtId="0" fontId="0" fillId="0" borderId="9" pivotButton="0" quotePrefix="0" xfId="0"/>
    <xf numFmtId="164" fontId="6" fillId="9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FF9B2C2C"/>
      </font>
      <fill>
        <patternFill patternType="solid">
          <fgColor rgb="FFF6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355B"/>
    <outlinePr summaryBelow="1" summaryRight="1"/>
    <pageSetUpPr fitToPage="1"/>
  </sheetPr>
  <dimension ref="A1:L7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6" customWidth="1" min="4" max="4"/>
    <col width="13" customWidth="1" min="5" max="5"/>
    <col width="13" customWidth="1" min="6" max="6"/>
    <col width="20" customWidth="1" min="7" max="7"/>
    <col width="13" customWidth="1" min="8" max="8"/>
    <col width="4" customWidth="1" min="9" max="9"/>
    <col hidden="1" width="13" customWidth="1" min="11" max="11"/>
    <col hidden="1" width="13" customWidth="1" min="12" max="12"/>
  </cols>
  <sheetData>
    <row r="1" ht="34" customHeight="1">
      <c r="A1" s="1" t="inlineStr">
        <is>
          <t>شركة المتوكل  —  تقفيل يومية العمل</t>
        </is>
      </c>
    </row>
    <row r="2" ht="20" customHeight="1">
      <c r="A2" s="3" t="inlineStr">
        <is>
          <t>اكتب التاريخ في الخانة الصفراء ← يظهر تقفيل اليوم كامل جاهز للطباعة</t>
        </is>
      </c>
    </row>
    <row r="4" ht="26" customHeight="1">
      <c r="B4" s="61">
        <f>TODAY()</f>
        <v/>
      </c>
      <c r="C4" s="8" t="n"/>
      <c r="D4" s="6" t="inlineStr">
        <is>
          <t>التاريخ</t>
        </is>
      </c>
      <c r="E4" s="8" t="n"/>
    </row>
    <row r="5" ht="22" customHeight="1">
      <c r="B5" s="62">
        <f>IFERROR(INDEX('سجل اليومية'!$C$4:$C$503,MATCH($B$4,'سجل اليومية'!$B$4:$B$503,0)),0)</f>
        <v/>
      </c>
      <c r="C5" s="8" t="n"/>
      <c r="D5" s="9" t="inlineStr">
        <is>
          <t>باقي عهدة سابق</t>
        </is>
      </c>
      <c r="E5" s="8" t="n"/>
    </row>
    <row r="6" ht="22" customHeight="1">
      <c r="B6" s="63">
        <f>IFERROR(INDEX('سجل اليومية'!$D$4:$D$503,MATCH($B$4,'سجل اليومية'!$B$4:$B$503,0)),0)</f>
        <v/>
      </c>
      <c r="C6" s="8" t="n"/>
      <c r="D6" s="11" t="inlineStr">
        <is>
          <t>العهدة المستلمة اليوم</t>
        </is>
      </c>
      <c r="E6" s="8" t="n"/>
    </row>
    <row r="7" ht="22" customHeight="1">
      <c r="B7" s="64">
        <f>IFERROR(INDEX('سجل اليومية'!$E$4:$E$503,MATCH($B$4,'سجل اليومية'!$B$4:$B$503,0)),0)</f>
        <v/>
      </c>
      <c r="C7" s="8" t="n"/>
      <c r="D7" s="13" t="inlineStr">
        <is>
          <t>إجمالي العهدة المتاحة</t>
        </is>
      </c>
      <c r="E7" s="8" t="n"/>
    </row>
    <row r="9" ht="22" customHeight="1">
      <c r="A9" s="14" t="inlineStr">
        <is>
          <t>عُهد ورحلات اليوم</t>
        </is>
      </c>
    </row>
    <row r="10" ht="30" customHeight="1">
      <c r="A10" s="15" t="inlineStr">
        <is>
          <t>م</t>
        </is>
      </c>
      <c r="B10" s="15" t="inlineStr">
        <is>
          <t>عدد الحاويات</t>
        </is>
      </c>
      <c r="C10" s="15" t="inlineStr">
        <is>
          <t>شركة الشحن</t>
        </is>
      </c>
      <c r="D10" s="15" t="inlineStr">
        <is>
          <t>اسم الشركة</t>
        </is>
      </c>
      <c r="E10" s="15" t="inlineStr">
        <is>
          <t>الجهة</t>
        </is>
      </c>
      <c r="F10" s="15" t="inlineStr">
        <is>
          <t>توكيل</t>
        </is>
      </c>
      <c r="G10" s="15" t="inlineStr">
        <is>
          <t>الميناء</t>
        </is>
      </c>
      <c r="H10" s="15" t="inlineStr">
        <is>
          <t>مالك السيارة</t>
        </is>
      </c>
      <c r="I10" s="15" t="inlineStr">
        <is>
          <t>العهد</t>
        </is>
      </c>
    </row>
    <row r="11">
      <c r="A11" s="16">
        <f>IF($K11="","",1)</f>
        <v/>
      </c>
      <c r="B11" s="16">
        <f>IF($K11="","",INDEX('العهد والرحلات'!$A$1:$J$2003,$K11,3))</f>
        <v/>
      </c>
      <c r="C11" s="17">
        <f>IF($K11="","",INDEX('العهد والرحلات'!$A$1:$J$2003,$K11,4))</f>
        <v/>
      </c>
      <c r="D11" s="17">
        <f>IF($K11="","",INDEX('العهد والرحلات'!$A$1:$J$2003,$K11,5))</f>
        <v/>
      </c>
      <c r="E11" s="17">
        <f>IF($K11="","",INDEX('العهد والرحلات'!$A$1:$J$2003,$K11,6))</f>
        <v/>
      </c>
      <c r="F11" s="17">
        <f>IF($K11="","",INDEX('العهد والرحلات'!$A$1:$J$2003,$K11,7))</f>
        <v/>
      </c>
      <c r="G11" s="17">
        <f>IF($K11="","",INDEX('العهد والرحلات'!$A$1:$J$2003,$K11,8))</f>
        <v/>
      </c>
      <c r="H11" s="17">
        <f>IF($K11="","",INDEX('العهد والرحلات'!$A$1:$J$2003,$K11,9))</f>
        <v/>
      </c>
      <c r="I11" s="18">
        <f>IF($K11="","",INDEX('العهد والرحلات'!$A$1:$J$2003,$K11,10))</f>
        <v/>
      </c>
      <c r="K11">
        <f t="array" ref="K11">IFERROR(SMALL(IF('العهد والرحلات'!$B$4:$B$2003=$B$4,ROW('العهد والرحلات'!$B$4:$B$2003)),1),"")</f>
        <v/>
      </c>
    </row>
    <row r="12">
      <c r="A12" s="16">
        <f>IF($K12="","",2)</f>
        <v/>
      </c>
      <c r="B12" s="16">
        <f>IF($K12="","",INDEX('العهد والرحلات'!$A$1:$J$2003,$K12,3))</f>
        <v/>
      </c>
      <c r="C12" s="17">
        <f>IF($K12="","",INDEX('العهد والرحلات'!$A$1:$J$2003,$K12,4))</f>
        <v/>
      </c>
      <c r="D12" s="17">
        <f>IF($K12="","",INDEX('العهد والرحلات'!$A$1:$J$2003,$K12,5))</f>
        <v/>
      </c>
      <c r="E12" s="17">
        <f>IF($K12="","",INDEX('العهد والرحلات'!$A$1:$J$2003,$K12,6))</f>
        <v/>
      </c>
      <c r="F12" s="17">
        <f>IF($K12="","",INDEX('العهد والرحلات'!$A$1:$J$2003,$K12,7))</f>
        <v/>
      </c>
      <c r="G12" s="17">
        <f>IF($K12="","",INDEX('العهد والرحلات'!$A$1:$J$2003,$K12,8))</f>
        <v/>
      </c>
      <c r="H12" s="17">
        <f>IF($K12="","",INDEX('العهد والرحلات'!$A$1:$J$2003,$K12,9))</f>
        <v/>
      </c>
      <c r="I12" s="18">
        <f>IF($K12="","",INDEX('العهد والرحلات'!$A$1:$J$2003,$K12,10))</f>
        <v/>
      </c>
      <c r="K12">
        <f t="array" ref="K12">IFERROR(SMALL(IF('العهد والرحلات'!$B$4:$B$2003=$B$4,ROW('العهد والرحلات'!$B$4:$B$2003)),2),"")</f>
        <v/>
      </c>
    </row>
    <row r="13">
      <c r="A13" s="16">
        <f>IF($K13="","",3)</f>
        <v/>
      </c>
      <c r="B13" s="16">
        <f>IF($K13="","",INDEX('العهد والرحلات'!$A$1:$J$2003,$K13,3))</f>
        <v/>
      </c>
      <c r="C13" s="17">
        <f>IF($K13="","",INDEX('العهد والرحلات'!$A$1:$J$2003,$K13,4))</f>
        <v/>
      </c>
      <c r="D13" s="17">
        <f>IF($K13="","",INDEX('العهد والرحلات'!$A$1:$J$2003,$K13,5))</f>
        <v/>
      </c>
      <c r="E13" s="17">
        <f>IF($K13="","",INDEX('العهد والرحلات'!$A$1:$J$2003,$K13,6))</f>
        <v/>
      </c>
      <c r="F13" s="17">
        <f>IF($K13="","",INDEX('العهد والرحلات'!$A$1:$J$2003,$K13,7))</f>
        <v/>
      </c>
      <c r="G13" s="17">
        <f>IF($K13="","",INDEX('العهد والرحلات'!$A$1:$J$2003,$K13,8))</f>
        <v/>
      </c>
      <c r="H13" s="17">
        <f>IF($K13="","",INDEX('العهد والرحلات'!$A$1:$J$2003,$K13,9))</f>
        <v/>
      </c>
      <c r="I13" s="18">
        <f>IF($K13="","",INDEX('العهد والرحلات'!$A$1:$J$2003,$K13,10))</f>
        <v/>
      </c>
      <c r="K13">
        <f t="array" ref="K13">IFERROR(SMALL(IF('العهد والرحلات'!$B$4:$B$2003=$B$4,ROW('العهد والرحلات'!$B$4:$B$2003)),3),"")</f>
        <v/>
      </c>
    </row>
    <row r="14">
      <c r="A14" s="16">
        <f>IF($K14="","",4)</f>
        <v/>
      </c>
      <c r="B14" s="16">
        <f>IF($K14="","",INDEX('العهد والرحلات'!$A$1:$J$2003,$K14,3))</f>
        <v/>
      </c>
      <c r="C14" s="17">
        <f>IF($K14="","",INDEX('العهد والرحلات'!$A$1:$J$2003,$K14,4))</f>
        <v/>
      </c>
      <c r="D14" s="17">
        <f>IF($K14="","",INDEX('العهد والرحلات'!$A$1:$J$2003,$K14,5))</f>
        <v/>
      </c>
      <c r="E14" s="17">
        <f>IF($K14="","",INDEX('العهد والرحلات'!$A$1:$J$2003,$K14,6))</f>
        <v/>
      </c>
      <c r="F14" s="17">
        <f>IF($K14="","",INDEX('العهد والرحلات'!$A$1:$J$2003,$K14,7))</f>
        <v/>
      </c>
      <c r="G14" s="17">
        <f>IF($K14="","",INDEX('العهد والرحلات'!$A$1:$J$2003,$K14,8))</f>
        <v/>
      </c>
      <c r="H14" s="17">
        <f>IF($K14="","",INDEX('العهد والرحلات'!$A$1:$J$2003,$K14,9))</f>
        <v/>
      </c>
      <c r="I14" s="18">
        <f>IF($K14="","",INDEX('العهد والرحلات'!$A$1:$J$2003,$K14,10))</f>
        <v/>
      </c>
      <c r="K14">
        <f t="array" ref="K14">IFERROR(SMALL(IF('العهد والرحلات'!$B$4:$B$2003=$B$4,ROW('العهد والرحلات'!$B$4:$B$2003)),4),"")</f>
        <v/>
      </c>
    </row>
    <row r="15">
      <c r="A15" s="16">
        <f>IF($K15="","",5)</f>
        <v/>
      </c>
      <c r="B15" s="16">
        <f>IF($K15="","",INDEX('العهد والرحلات'!$A$1:$J$2003,$K15,3))</f>
        <v/>
      </c>
      <c r="C15" s="17">
        <f>IF($K15="","",INDEX('العهد والرحلات'!$A$1:$J$2003,$K15,4))</f>
        <v/>
      </c>
      <c r="D15" s="17">
        <f>IF($K15="","",INDEX('العهد والرحلات'!$A$1:$J$2003,$K15,5))</f>
        <v/>
      </c>
      <c r="E15" s="17">
        <f>IF($K15="","",INDEX('العهد والرحلات'!$A$1:$J$2003,$K15,6))</f>
        <v/>
      </c>
      <c r="F15" s="17">
        <f>IF($K15="","",INDEX('العهد والرحلات'!$A$1:$J$2003,$K15,7))</f>
        <v/>
      </c>
      <c r="G15" s="17">
        <f>IF($K15="","",INDEX('العهد والرحلات'!$A$1:$J$2003,$K15,8))</f>
        <v/>
      </c>
      <c r="H15" s="17">
        <f>IF($K15="","",INDEX('العهد والرحلات'!$A$1:$J$2003,$K15,9))</f>
        <v/>
      </c>
      <c r="I15" s="18">
        <f>IF($K15="","",INDEX('العهد والرحلات'!$A$1:$J$2003,$K15,10))</f>
        <v/>
      </c>
      <c r="K15">
        <f t="array" ref="K15">IFERROR(SMALL(IF('العهد والرحلات'!$B$4:$B$2003=$B$4,ROW('العهد والرحلات'!$B$4:$B$2003)),5),"")</f>
        <v/>
      </c>
    </row>
    <row r="16">
      <c r="A16" s="16">
        <f>IF($K16="","",6)</f>
        <v/>
      </c>
      <c r="B16" s="16">
        <f>IF($K16="","",INDEX('العهد والرحلات'!$A$1:$J$2003,$K16,3))</f>
        <v/>
      </c>
      <c r="C16" s="17">
        <f>IF($K16="","",INDEX('العهد والرحلات'!$A$1:$J$2003,$K16,4))</f>
        <v/>
      </c>
      <c r="D16" s="17">
        <f>IF($K16="","",INDEX('العهد والرحلات'!$A$1:$J$2003,$K16,5))</f>
        <v/>
      </c>
      <c r="E16" s="17">
        <f>IF($K16="","",INDEX('العهد والرحلات'!$A$1:$J$2003,$K16,6))</f>
        <v/>
      </c>
      <c r="F16" s="17">
        <f>IF($K16="","",INDEX('العهد والرحلات'!$A$1:$J$2003,$K16,7))</f>
        <v/>
      </c>
      <c r="G16" s="17">
        <f>IF($K16="","",INDEX('العهد والرحلات'!$A$1:$J$2003,$K16,8))</f>
        <v/>
      </c>
      <c r="H16" s="17">
        <f>IF($K16="","",INDEX('العهد والرحلات'!$A$1:$J$2003,$K16,9))</f>
        <v/>
      </c>
      <c r="I16" s="18">
        <f>IF($K16="","",INDEX('العهد والرحلات'!$A$1:$J$2003,$K16,10))</f>
        <v/>
      </c>
      <c r="K16">
        <f t="array" ref="K16">IFERROR(SMALL(IF('العهد والرحلات'!$B$4:$B$2003=$B$4,ROW('العهد والرحلات'!$B$4:$B$2003)),6),"")</f>
        <v/>
      </c>
    </row>
    <row r="17">
      <c r="A17" s="16">
        <f>IF($K17="","",7)</f>
        <v/>
      </c>
      <c r="B17" s="16">
        <f>IF($K17="","",INDEX('العهد والرحلات'!$A$1:$J$2003,$K17,3))</f>
        <v/>
      </c>
      <c r="C17" s="17">
        <f>IF($K17="","",INDEX('العهد والرحلات'!$A$1:$J$2003,$K17,4))</f>
        <v/>
      </c>
      <c r="D17" s="17">
        <f>IF($K17="","",INDEX('العهد والرحلات'!$A$1:$J$2003,$K17,5))</f>
        <v/>
      </c>
      <c r="E17" s="17">
        <f>IF($K17="","",INDEX('العهد والرحلات'!$A$1:$J$2003,$K17,6))</f>
        <v/>
      </c>
      <c r="F17" s="17">
        <f>IF($K17="","",INDEX('العهد والرحلات'!$A$1:$J$2003,$K17,7))</f>
        <v/>
      </c>
      <c r="G17" s="17">
        <f>IF($K17="","",INDEX('العهد والرحلات'!$A$1:$J$2003,$K17,8))</f>
        <v/>
      </c>
      <c r="H17" s="17">
        <f>IF($K17="","",INDEX('العهد والرحلات'!$A$1:$J$2003,$K17,9))</f>
        <v/>
      </c>
      <c r="I17" s="18">
        <f>IF($K17="","",INDEX('العهد والرحلات'!$A$1:$J$2003,$K17,10))</f>
        <v/>
      </c>
      <c r="K17">
        <f t="array" ref="K17">IFERROR(SMALL(IF('العهد والرحلات'!$B$4:$B$2003=$B$4,ROW('العهد والرحلات'!$B$4:$B$2003)),7),"")</f>
        <v/>
      </c>
    </row>
    <row r="18">
      <c r="A18" s="16">
        <f>IF($K18="","",8)</f>
        <v/>
      </c>
      <c r="B18" s="16">
        <f>IF($K18="","",INDEX('العهد والرحلات'!$A$1:$J$2003,$K18,3))</f>
        <v/>
      </c>
      <c r="C18" s="17">
        <f>IF($K18="","",INDEX('العهد والرحلات'!$A$1:$J$2003,$K18,4))</f>
        <v/>
      </c>
      <c r="D18" s="17">
        <f>IF($K18="","",INDEX('العهد والرحلات'!$A$1:$J$2003,$K18,5))</f>
        <v/>
      </c>
      <c r="E18" s="17">
        <f>IF($K18="","",INDEX('العهد والرحلات'!$A$1:$J$2003,$K18,6))</f>
        <v/>
      </c>
      <c r="F18" s="17">
        <f>IF($K18="","",INDEX('العهد والرحلات'!$A$1:$J$2003,$K18,7))</f>
        <v/>
      </c>
      <c r="G18" s="17">
        <f>IF($K18="","",INDEX('العهد والرحلات'!$A$1:$J$2003,$K18,8))</f>
        <v/>
      </c>
      <c r="H18" s="17">
        <f>IF($K18="","",INDEX('العهد والرحلات'!$A$1:$J$2003,$K18,9))</f>
        <v/>
      </c>
      <c r="I18" s="18">
        <f>IF($K18="","",INDEX('العهد والرحلات'!$A$1:$J$2003,$K18,10))</f>
        <v/>
      </c>
      <c r="K18">
        <f t="array" ref="K18">IFERROR(SMALL(IF('العهد والرحلات'!$B$4:$B$2003=$B$4,ROW('العهد والرحلات'!$B$4:$B$2003)),8),"")</f>
        <v/>
      </c>
    </row>
    <row r="19">
      <c r="A19" s="16">
        <f>IF($K19="","",9)</f>
        <v/>
      </c>
      <c r="B19" s="16">
        <f>IF($K19="","",INDEX('العهد والرحلات'!$A$1:$J$2003,$K19,3))</f>
        <v/>
      </c>
      <c r="C19" s="17">
        <f>IF($K19="","",INDEX('العهد والرحلات'!$A$1:$J$2003,$K19,4))</f>
        <v/>
      </c>
      <c r="D19" s="17">
        <f>IF($K19="","",INDEX('العهد والرحلات'!$A$1:$J$2003,$K19,5))</f>
        <v/>
      </c>
      <c r="E19" s="17">
        <f>IF($K19="","",INDEX('العهد والرحلات'!$A$1:$J$2003,$K19,6))</f>
        <v/>
      </c>
      <c r="F19" s="17">
        <f>IF($K19="","",INDEX('العهد والرحلات'!$A$1:$J$2003,$K19,7))</f>
        <v/>
      </c>
      <c r="G19" s="17">
        <f>IF($K19="","",INDEX('العهد والرحلات'!$A$1:$J$2003,$K19,8))</f>
        <v/>
      </c>
      <c r="H19" s="17">
        <f>IF($K19="","",INDEX('العهد والرحلات'!$A$1:$J$2003,$K19,9))</f>
        <v/>
      </c>
      <c r="I19" s="18">
        <f>IF($K19="","",INDEX('العهد والرحلات'!$A$1:$J$2003,$K19,10))</f>
        <v/>
      </c>
      <c r="K19">
        <f t="array" ref="K19">IFERROR(SMALL(IF('العهد والرحلات'!$B$4:$B$2003=$B$4,ROW('العهد والرحلات'!$B$4:$B$2003)),9),"")</f>
        <v/>
      </c>
    </row>
    <row r="20">
      <c r="A20" s="16">
        <f>IF($K20="","",10)</f>
        <v/>
      </c>
      <c r="B20" s="16">
        <f>IF($K20="","",INDEX('العهد والرحلات'!$A$1:$J$2003,$K20,3))</f>
        <v/>
      </c>
      <c r="C20" s="17">
        <f>IF($K20="","",INDEX('العهد والرحلات'!$A$1:$J$2003,$K20,4))</f>
        <v/>
      </c>
      <c r="D20" s="17">
        <f>IF($K20="","",INDEX('العهد والرحلات'!$A$1:$J$2003,$K20,5))</f>
        <v/>
      </c>
      <c r="E20" s="17">
        <f>IF($K20="","",INDEX('العهد والرحلات'!$A$1:$J$2003,$K20,6))</f>
        <v/>
      </c>
      <c r="F20" s="17">
        <f>IF($K20="","",INDEX('العهد والرحلات'!$A$1:$J$2003,$K20,7))</f>
        <v/>
      </c>
      <c r="G20" s="17">
        <f>IF($K20="","",INDEX('العهد والرحلات'!$A$1:$J$2003,$K20,8))</f>
        <v/>
      </c>
      <c r="H20" s="17">
        <f>IF($K20="","",INDEX('العهد والرحلات'!$A$1:$J$2003,$K20,9))</f>
        <v/>
      </c>
      <c r="I20" s="18">
        <f>IF($K20="","",INDEX('العهد والرحلات'!$A$1:$J$2003,$K20,10))</f>
        <v/>
      </c>
      <c r="K20">
        <f t="array" ref="K20">IFERROR(SMALL(IF('العهد والرحلات'!$B$4:$B$2003=$B$4,ROW('العهد والرحلات'!$B$4:$B$2003)),10),"")</f>
        <v/>
      </c>
    </row>
    <row r="21">
      <c r="A21" s="16">
        <f>IF($K21="","",11)</f>
        <v/>
      </c>
      <c r="B21" s="16">
        <f>IF($K21="","",INDEX('العهد والرحلات'!$A$1:$J$2003,$K21,3))</f>
        <v/>
      </c>
      <c r="C21" s="17">
        <f>IF($K21="","",INDEX('العهد والرحلات'!$A$1:$J$2003,$K21,4))</f>
        <v/>
      </c>
      <c r="D21" s="17">
        <f>IF($K21="","",INDEX('العهد والرحلات'!$A$1:$J$2003,$K21,5))</f>
        <v/>
      </c>
      <c r="E21" s="17">
        <f>IF($K21="","",INDEX('العهد والرحلات'!$A$1:$J$2003,$K21,6))</f>
        <v/>
      </c>
      <c r="F21" s="17">
        <f>IF($K21="","",INDEX('العهد والرحلات'!$A$1:$J$2003,$K21,7))</f>
        <v/>
      </c>
      <c r="G21" s="17">
        <f>IF($K21="","",INDEX('العهد والرحلات'!$A$1:$J$2003,$K21,8))</f>
        <v/>
      </c>
      <c r="H21" s="17">
        <f>IF($K21="","",INDEX('العهد والرحلات'!$A$1:$J$2003,$K21,9))</f>
        <v/>
      </c>
      <c r="I21" s="18">
        <f>IF($K21="","",INDEX('العهد والرحلات'!$A$1:$J$2003,$K21,10))</f>
        <v/>
      </c>
      <c r="K21">
        <f t="array" ref="K21">IFERROR(SMALL(IF('العهد والرحلات'!$B$4:$B$2003=$B$4,ROW('العهد والرحلات'!$B$4:$B$2003)),11),"")</f>
        <v/>
      </c>
    </row>
    <row r="22">
      <c r="A22" s="16">
        <f>IF($K22="","",12)</f>
        <v/>
      </c>
      <c r="B22" s="16">
        <f>IF($K22="","",INDEX('العهد والرحلات'!$A$1:$J$2003,$K22,3))</f>
        <v/>
      </c>
      <c r="C22" s="17">
        <f>IF($K22="","",INDEX('العهد والرحلات'!$A$1:$J$2003,$K22,4))</f>
        <v/>
      </c>
      <c r="D22" s="17">
        <f>IF($K22="","",INDEX('العهد والرحلات'!$A$1:$J$2003,$K22,5))</f>
        <v/>
      </c>
      <c r="E22" s="17">
        <f>IF($K22="","",INDEX('العهد والرحلات'!$A$1:$J$2003,$K22,6))</f>
        <v/>
      </c>
      <c r="F22" s="17">
        <f>IF($K22="","",INDEX('العهد والرحلات'!$A$1:$J$2003,$K22,7))</f>
        <v/>
      </c>
      <c r="G22" s="17">
        <f>IF($K22="","",INDEX('العهد والرحلات'!$A$1:$J$2003,$K22,8))</f>
        <v/>
      </c>
      <c r="H22" s="17">
        <f>IF($K22="","",INDEX('العهد والرحلات'!$A$1:$J$2003,$K22,9))</f>
        <v/>
      </c>
      <c r="I22" s="18">
        <f>IF($K22="","",INDEX('العهد والرحلات'!$A$1:$J$2003,$K22,10))</f>
        <v/>
      </c>
      <c r="K22">
        <f t="array" ref="K22">IFERROR(SMALL(IF('العهد والرحلات'!$B$4:$B$2003=$B$4,ROW('العهد والرحلات'!$B$4:$B$2003)),12),"")</f>
        <v/>
      </c>
    </row>
    <row r="23">
      <c r="A23" s="16">
        <f>IF($K23="","",13)</f>
        <v/>
      </c>
      <c r="B23" s="16">
        <f>IF($K23="","",INDEX('العهد والرحلات'!$A$1:$J$2003,$K23,3))</f>
        <v/>
      </c>
      <c r="C23" s="17">
        <f>IF($K23="","",INDEX('العهد والرحلات'!$A$1:$J$2003,$K23,4))</f>
        <v/>
      </c>
      <c r="D23" s="17">
        <f>IF($K23="","",INDEX('العهد والرحلات'!$A$1:$J$2003,$K23,5))</f>
        <v/>
      </c>
      <c r="E23" s="17">
        <f>IF($K23="","",INDEX('العهد والرحلات'!$A$1:$J$2003,$K23,6))</f>
        <v/>
      </c>
      <c r="F23" s="17">
        <f>IF($K23="","",INDEX('العهد والرحلات'!$A$1:$J$2003,$K23,7))</f>
        <v/>
      </c>
      <c r="G23" s="17">
        <f>IF($K23="","",INDEX('العهد والرحلات'!$A$1:$J$2003,$K23,8))</f>
        <v/>
      </c>
      <c r="H23" s="17">
        <f>IF($K23="","",INDEX('العهد والرحلات'!$A$1:$J$2003,$K23,9))</f>
        <v/>
      </c>
      <c r="I23" s="18">
        <f>IF($K23="","",INDEX('العهد والرحلات'!$A$1:$J$2003,$K23,10))</f>
        <v/>
      </c>
      <c r="K23">
        <f t="array" ref="K23">IFERROR(SMALL(IF('العهد والرحلات'!$B$4:$B$2003=$B$4,ROW('العهد والرحلات'!$B$4:$B$2003)),13),"")</f>
        <v/>
      </c>
    </row>
    <row r="24">
      <c r="A24" s="16">
        <f>IF($K24="","",14)</f>
        <v/>
      </c>
      <c r="B24" s="16">
        <f>IF($K24="","",INDEX('العهد والرحلات'!$A$1:$J$2003,$K24,3))</f>
        <v/>
      </c>
      <c r="C24" s="17">
        <f>IF($K24="","",INDEX('العهد والرحلات'!$A$1:$J$2003,$K24,4))</f>
        <v/>
      </c>
      <c r="D24" s="17">
        <f>IF($K24="","",INDEX('العهد والرحلات'!$A$1:$J$2003,$K24,5))</f>
        <v/>
      </c>
      <c r="E24" s="17">
        <f>IF($K24="","",INDEX('العهد والرحلات'!$A$1:$J$2003,$K24,6))</f>
        <v/>
      </c>
      <c r="F24" s="17">
        <f>IF($K24="","",INDEX('العهد والرحلات'!$A$1:$J$2003,$K24,7))</f>
        <v/>
      </c>
      <c r="G24" s="17">
        <f>IF($K24="","",INDEX('العهد والرحلات'!$A$1:$J$2003,$K24,8))</f>
        <v/>
      </c>
      <c r="H24" s="17">
        <f>IF($K24="","",INDEX('العهد والرحلات'!$A$1:$J$2003,$K24,9))</f>
        <v/>
      </c>
      <c r="I24" s="18">
        <f>IF($K24="","",INDEX('العهد والرحلات'!$A$1:$J$2003,$K24,10))</f>
        <v/>
      </c>
      <c r="K24">
        <f t="array" ref="K24">IFERROR(SMALL(IF('العهد والرحلات'!$B$4:$B$2003=$B$4,ROW('العهد والرحلات'!$B$4:$B$2003)),14),"")</f>
        <v/>
      </c>
    </row>
    <row r="25">
      <c r="A25" s="16">
        <f>IF($K25="","",15)</f>
        <v/>
      </c>
      <c r="B25" s="16">
        <f>IF($K25="","",INDEX('العهد والرحلات'!$A$1:$J$2003,$K25,3))</f>
        <v/>
      </c>
      <c r="C25" s="17">
        <f>IF($K25="","",INDEX('العهد والرحلات'!$A$1:$J$2003,$K25,4))</f>
        <v/>
      </c>
      <c r="D25" s="17">
        <f>IF($K25="","",INDEX('العهد والرحلات'!$A$1:$J$2003,$K25,5))</f>
        <v/>
      </c>
      <c r="E25" s="17">
        <f>IF($K25="","",INDEX('العهد والرحلات'!$A$1:$J$2003,$K25,6))</f>
        <v/>
      </c>
      <c r="F25" s="17">
        <f>IF($K25="","",INDEX('العهد والرحلات'!$A$1:$J$2003,$K25,7))</f>
        <v/>
      </c>
      <c r="G25" s="17">
        <f>IF($K25="","",INDEX('العهد والرحلات'!$A$1:$J$2003,$K25,8))</f>
        <v/>
      </c>
      <c r="H25" s="17">
        <f>IF($K25="","",INDEX('العهد والرحلات'!$A$1:$J$2003,$K25,9))</f>
        <v/>
      </c>
      <c r="I25" s="18">
        <f>IF($K25="","",INDEX('العهد والرحلات'!$A$1:$J$2003,$K25,10))</f>
        <v/>
      </c>
      <c r="K25">
        <f t="array" ref="K25">IFERROR(SMALL(IF('العهد والرحلات'!$B$4:$B$2003=$B$4,ROW('العهد والرحلات'!$B$4:$B$2003)),15),"")</f>
        <v/>
      </c>
    </row>
    <row r="26">
      <c r="A26" s="16">
        <f>IF($K26="","",16)</f>
        <v/>
      </c>
      <c r="B26" s="16">
        <f>IF($K26="","",INDEX('العهد والرحلات'!$A$1:$J$2003,$K26,3))</f>
        <v/>
      </c>
      <c r="C26" s="17">
        <f>IF($K26="","",INDEX('العهد والرحلات'!$A$1:$J$2003,$K26,4))</f>
        <v/>
      </c>
      <c r="D26" s="17">
        <f>IF($K26="","",INDEX('العهد والرحلات'!$A$1:$J$2003,$K26,5))</f>
        <v/>
      </c>
      <c r="E26" s="17">
        <f>IF($K26="","",INDEX('العهد والرحلات'!$A$1:$J$2003,$K26,6))</f>
        <v/>
      </c>
      <c r="F26" s="17">
        <f>IF($K26="","",INDEX('العهد والرحلات'!$A$1:$J$2003,$K26,7))</f>
        <v/>
      </c>
      <c r="G26" s="17">
        <f>IF($K26="","",INDEX('العهد والرحلات'!$A$1:$J$2003,$K26,8))</f>
        <v/>
      </c>
      <c r="H26" s="17">
        <f>IF($K26="","",INDEX('العهد والرحلات'!$A$1:$J$2003,$K26,9))</f>
        <v/>
      </c>
      <c r="I26" s="18">
        <f>IF($K26="","",INDEX('العهد والرحلات'!$A$1:$J$2003,$K26,10))</f>
        <v/>
      </c>
      <c r="K26">
        <f t="array" ref="K26">IFERROR(SMALL(IF('العهد والرحلات'!$B$4:$B$2003=$B$4,ROW('العهد والرحلات'!$B$4:$B$2003)),16),"")</f>
        <v/>
      </c>
    </row>
    <row r="27">
      <c r="A27" s="16">
        <f>IF($K27="","",17)</f>
        <v/>
      </c>
      <c r="B27" s="16">
        <f>IF($K27="","",INDEX('العهد والرحلات'!$A$1:$J$2003,$K27,3))</f>
        <v/>
      </c>
      <c r="C27" s="17">
        <f>IF($K27="","",INDEX('العهد والرحلات'!$A$1:$J$2003,$K27,4))</f>
        <v/>
      </c>
      <c r="D27" s="17">
        <f>IF($K27="","",INDEX('العهد والرحلات'!$A$1:$J$2003,$K27,5))</f>
        <v/>
      </c>
      <c r="E27" s="17">
        <f>IF($K27="","",INDEX('العهد والرحلات'!$A$1:$J$2003,$K27,6))</f>
        <v/>
      </c>
      <c r="F27" s="17">
        <f>IF($K27="","",INDEX('العهد والرحلات'!$A$1:$J$2003,$K27,7))</f>
        <v/>
      </c>
      <c r="G27" s="17">
        <f>IF($K27="","",INDEX('العهد والرحلات'!$A$1:$J$2003,$K27,8))</f>
        <v/>
      </c>
      <c r="H27" s="17">
        <f>IF($K27="","",INDEX('العهد والرحلات'!$A$1:$J$2003,$K27,9))</f>
        <v/>
      </c>
      <c r="I27" s="18">
        <f>IF($K27="","",INDEX('العهد والرحلات'!$A$1:$J$2003,$K27,10))</f>
        <v/>
      </c>
      <c r="K27">
        <f t="array" ref="K27">IFERROR(SMALL(IF('العهد والرحلات'!$B$4:$B$2003=$B$4,ROW('العهد والرحلات'!$B$4:$B$2003)),17),"")</f>
        <v/>
      </c>
    </row>
    <row r="28">
      <c r="A28" s="16">
        <f>IF($K28="","",18)</f>
        <v/>
      </c>
      <c r="B28" s="16">
        <f>IF($K28="","",INDEX('العهد والرحلات'!$A$1:$J$2003,$K28,3))</f>
        <v/>
      </c>
      <c r="C28" s="17">
        <f>IF($K28="","",INDEX('العهد والرحلات'!$A$1:$J$2003,$K28,4))</f>
        <v/>
      </c>
      <c r="D28" s="17">
        <f>IF($K28="","",INDEX('العهد والرحلات'!$A$1:$J$2003,$K28,5))</f>
        <v/>
      </c>
      <c r="E28" s="17">
        <f>IF($K28="","",INDEX('العهد والرحلات'!$A$1:$J$2003,$K28,6))</f>
        <v/>
      </c>
      <c r="F28" s="17">
        <f>IF($K28="","",INDEX('العهد والرحلات'!$A$1:$J$2003,$K28,7))</f>
        <v/>
      </c>
      <c r="G28" s="17">
        <f>IF($K28="","",INDEX('العهد والرحلات'!$A$1:$J$2003,$K28,8))</f>
        <v/>
      </c>
      <c r="H28" s="17">
        <f>IF($K28="","",INDEX('العهد والرحلات'!$A$1:$J$2003,$K28,9))</f>
        <v/>
      </c>
      <c r="I28" s="18">
        <f>IF($K28="","",INDEX('العهد والرحلات'!$A$1:$J$2003,$K28,10))</f>
        <v/>
      </c>
      <c r="K28">
        <f t="array" ref="K28">IFERROR(SMALL(IF('العهد والرحلات'!$B$4:$B$2003=$B$4,ROW('العهد والرحلات'!$B$4:$B$2003)),18),"")</f>
        <v/>
      </c>
    </row>
    <row r="29">
      <c r="A29" s="16">
        <f>IF($K29="","",19)</f>
        <v/>
      </c>
      <c r="B29" s="16">
        <f>IF($K29="","",INDEX('العهد والرحلات'!$A$1:$J$2003,$K29,3))</f>
        <v/>
      </c>
      <c r="C29" s="17">
        <f>IF($K29="","",INDEX('العهد والرحلات'!$A$1:$J$2003,$K29,4))</f>
        <v/>
      </c>
      <c r="D29" s="17">
        <f>IF($K29="","",INDEX('العهد والرحلات'!$A$1:$J$2003,$K29,5))</f>
        <v/>
      </c>
      <c r="E29" s="17">
        <f>IF($K29="","",INDEX('العهد والرحلات'!$A$1:$J$2003,$K29,6))</f>
        <v/>
      </c>
      <c r="F29" s="17">
        <f>IF($K29="","",INDEX('العهد والرحلات'!$A$1:$J$2003,$K29,7))</f>
        <v/>
      </c>
      <c r="G29" s="17">
        <f>IF($K29="","",INDEX('العهد والرحلات'!$A$1:$J$2003,$K29,8))</f>
        <v/>
      </c>
      <c r="H29" s="17">
        <f>IF($K29="","",INDEX('العهد والرحلات'!$A$1:$J$2003,$K29,9))</f>
        <v/>
      </c>
      <c r="I29" s="18">
        <f>IF($K29="","",INDEX('العهد والرحلات'!$A$1:$J$2003,$K29,10))</f>
        <v/>
      </c>
      <c r="K29">
        <f t="array" ref="K29">IFERROR(SMALL(IF('العهد والرحلات'!$B$4:$B$2003=$B$4,ROW('العهد والرحلات'!$B$4:$B$2003)),19),"")</f>
        <v/>
      </c>
    </row>
    <row r="30">
      <c r="A30" s="16">
        <f>IF($K30="","",20)</f>
        <v/>
      </c>
      <c r="B30" s="16">
        <f>IF($K30="","",INDEX('العهد والرحلات'!$A$1:$J$2003,$K30,3))</f>
        <v/>
      </c>
      <c r="C30" s="17">
        <f>IF($K30="","",INDEX('العهد والرحلات'!$A$1:$J$2003,$K30,4))</f>
        <v/>
      </c>
      <c r="D30" s="17">
        <f>IF($K30="","",INDEX('العهد والرحلات'!$A$1:$J$2003,$K30,5))</f>
        <v/>
      </c>
      <c r="E30" s="17">
        <f>IF($K30="","",INDEX('العهد والرحلات'!$A$1:$J$2003,$K30,6))</f>
        <v/>
      </c>
      <c r="F30" s="17">
        <f>IF($K30="","",INDEX('العهد والرحلات'!$A$1:$J$2003,$K30,7))</f>
        <v/>
      </c>
      <c r="G30" s="17">
        <f>IF($K30="","",INDEX('العهد والرحلات'!$A$1:$J$2003,$K30,8))</f>
        <v/>
      </c>
      <c r="H30" s="17">
        <f>IF($K30="","",INDEX('العهد والرحلات'!$A$1:$J$2003,$K30,9))</f>
        <v/>
      </c>
      <c r="I30" s="18">
        <f>IF($K30="","",INDEX('العهد والرحلات'!$A$1:$J$2003,$K30,10))</f>
        <v/>
      </c>
      <c r="K30">
        <f t="array" ref="K30">IFERROR(SMALL(IF('العهد والرحلات'!$B$4:$B$2003=$B$4,ROW('العهد والرحلات'!$B$4:$B$2003)),20),"")</f>
        <v/>
      </c>
    </row>
    <row r="31">
      <c r="A31" s="16">
        <f>IF($K31="","",21)</f>
        <v/>
      </c>
      <c r="B31" s="16">
        <f>IF($K31="","",INDEX('العهد والرحلات'!$A$1:$J$2003,$K31,3))</f>
        <v/>
      </c>
      <c r="C31" s="17">
        <f>IF($K31="","",INDEX('العهد والرحلات'!$A$1:$J$2003,$K31,4))</f>
        <v/>
      </c>
      <c r="D31" s="17">
        <f>IF($K31="","",INDEX('العهد والرحلات'!$A$1:$J$2003,$K31,5))</f>
        <v/>
      </c>
      <c r="E31" s="17">
        <f>IF($K31="","",INDEX('العهد والرحلات'!$A$1:$J$2003,$K31,6))</f>
        <v/>
      </c>
      <c r="F31" s="17">
        <f>IF($K31="","",INDEX('العهد والرحلات'!$A$1:$J$2003,$K31,7))</f>
        <v/>
      </c>
      <c r="G31" s="17">
        <f>IF($K31="","",INDEX('العهد والرحلات'!$A$1:$J$2003,$K31,8))</f>
        <v/>
      </c>
      <c r="H31" s="17">
        <f>IF($K31="","",INDEX('العهد والرحلات'!$A$1:$J$2003,$K31,9))</f>
        <v/>
      </c>
      <c r="I31" s="18">
        <f>IF($K31="","",INDEX('العهد والرحلات'!$A$1:$J$2003,$K31,10))</f>
        <v/>
      </c>
      <c r="K31">
        <f t="array" ref="K31">IFERROR(SMALL(IF('العهد والرحلات'!$B$4:$B$2003=$B$4,ROW('العهد والرحلات'!$B$4:$B$2003)),21),"")</f>
        <v/>
      </c>
    </row>
    <row r="32">
      <c r="A32" s="16">
        <f>IF($K32="","",22)</f>
        <v/>
      </c>
      <c r="B32" s="16">
        <f>IF($K32="","",INDEX('العهد والرحلات'!$A$1:$J$2003,$K32,3))</f>
        <v/>
      </c>
      <c r="C32" s="17">
        <f>IF($K32="","",INDEX('العهد والرحلات'!$A$1:$J$2003,$K32,4))</f>
        <v/>
      </c>
      <c r="D32" s="17">
        <f>IF($K32="","",INDEX('العهد والرحلات'!$A$1:$J$2003,$K32,5))</f>
        <v/>
      </c>
      <c r="E32" s="17">
        <f>IF($K32="","",INDEX('العهد والرحلات'!$A$1:$J$2003,$K32,6))</f>
        <v/>
      </c>
      <c r="F32" s="17">
        <f>IF($K32="","",INDEX('العهد والرحلات'!$A$1:$J$2003,$K32,7))</f>
        <v/>
      </c>
      <c r="G32" s="17">
        <f>IF($K32="","",INDEX('العهد والرحلات'!$A$1:$J$2003,$K32,8))</f>
        <v/>
      </c>
      <c r="H32" s="17">
        <f>IF($K32="","",INDEX('العهد والرحلات'!$A$1:$J$2003,$K32,9))</f>
        <v/>
      </c>
      <c r="I32" s="18">
        <f>IF($K32="","",INDEX('العهد والرحلات'!$A$1:$J$2003,$K32,10))</f>
        <v/>
      </c>
      <c r="K32">
        <f t="array" ref="K32">IFERROR(SMALL(IF('العهد والرحلات'!$B$4:$B$2003=$B$4,ROW('العهد والرحلات'!$B$4:$B$2003)),22),"")</f>
        <v/>
      </c>
    </row>
    <row r="33">
      <c r="A33" s="16">
        <f>IF($K33="","",23)</f>
        <v/>
      </c>
      <c r="B33" s="16">
        <f>IF($K33="","",INDEX('العهد والرحلات'!$A$1:$J$2003,$K33,3))</f>
        <v/>
      </c>
      <c r="C33" s="17">
        <f>IF($K33="","",INDEX('العهد والرحلات'!$A$1:$J$2003,$K33,4))</f>
        <v/>
      </c>
      <c r="D33" s="17">
        <f>IF($K33="","",INDEX('العهد والرحلات'!$A$1:$J$2003,$K33,5))</f>
        <v/>
      </c>
      <c r="E33" s="17">
        <f>IF($K33="","",INDEX('العهد والرحلات'!$A$1:$J$2003,$K33,6))</f>
        <v/>
      </c>
      <c r="F33" s="17">
        <f>IF($K33="","",INDEX('العهد والرحلات'!$A$1:$J$2003,$K33,7))</f>
        <v/>
      </c>
      <c r="G33" s="17">
        <f>IF($K33="","",INDEX('العهد والرحلات'!$A$1:$J$2003,$K33,8))</f>
        <v/>
      </c>
      <c r="H33" s="17">
        <f>IF($K33="","",INDEX('العهد والرحلات'!$A$1:$J$2003,$K33,9))</f>
        <v/>
      </c>
      <c r="I33" s="18">
        <f>IF($K33="","",INDEX('العهد والرحلات'!$A$1:$J$2003,$K33,10))</f>
        <v/>
      </c>
      <c r="K33">
        <f t="array" ref="K33">IFERROR(SMALL(IF('العهد والرحلات'!$B$4:$B$2003=$B$4,ROW('العهد والرحلات'!$B$4:$B$2003)),23),"")</f>
        <v/>
      </c>
    </row>
    <row r="34">
      <c r="A34" s="16">
        <f>IF($K34="","",24)</f>
        <v/>
      </c>
      <c r="B34" s="16">
        <f>IF($K34="","",INDEX('العهد والرحلات'!$A$1:$J$2003,$K34,3))</f>
        <v/>
      </c>
      <c r="C34" s="17">
        <f>IF($K34="","",INDEX('العهد والرحلات'!$A$1:$J$2003,$K34,4))</f>
        <v/>
      </c>
      <c r="D34" s="17">
        <f>IF($K34="","",INDEX('العهد والرحلات'!$A$1:$J$2003,$K34,5))</f>
        <v/>
      </c>
      <c r="E34" s="17">
        <f>IF($K34="","",INDEX('العهد والرحلات'!$A$1:$J$2003,$K34,6))</f>
        <v/>
      </c>
      <c r="F34" s="17">
        <f>IF($K34="","",INDEX('العهد والرحلات'!$A$1:$J$2003,$K34,7))</f>
        <v/>
      </c>
      <c r="G34" s="17">
        <f>IF($K34="","",INDEX('العهد والرحلات'!$A$1:$J$2003,$K34,8))</f>
        <v/>
      </c>
      <c r="H34" s="17">
        <f>IF($K34="","",INDEX('العهد والرحلات'!$A$1:$J$2003,$K34,9))</f>
        <v/>
      </c>
      <c r="I34" s="18">
        <f>IF($K34="","",INDEX('العهد والرحلات'!$A$1:$J$2003,$K34,10))</f>
        <v/>
      </c>
      <c r="K34">
        <f t="array" ref="K34">IFERROR(SMALL(IF('العهد والرحلات'!$B$4:$B$2003=$B$4,ROW('العهد والرحلات'!$B$4:$B$2003)),24),"")</f>
        <v/>
      </c>
    </row>
    <row r="35">
      <c r="A35" s="16">
        <f>IF($K35="","",25)</f>
        <v/>
      </c>
      <c r="B35" s="16">
        <f>IF($K35="","",INDEX('العهد والرحلات'!$A$1:$J$2003,$K35,3))</f>
        <v/>
      </c>
      <c r="C35" s="17">
        <f>IF($K35="","",INDEX('العهد والرحلات'!$A$1:$J$2003,$K35,4))</f>
        <v/>
      </c>
      <c r="D35" s="17">
        <f>IF($K35="","",INDEX('العهد والرحلات'!$A$1:$J$2003,$K35,5))</f>
        <v/>
      </c>
      <c r="E35" s="17">
        <f>IF($K35="","",INDEX('العهد والرحلات'!$A$1:$J$2003,$K35,6))</f>
        <v/>
      </c>
      <c r="F35" s="17">
        <f>IF($K35="","",INDEX('العهد والرحلات'!$A$1:$J$2003,$K35,7))</f>
        <v/>
      </c>
      <c r="G35" s="17">
        <f>IF($K35="","",INDEX('العهد والرحلات'!$A$1:$J$2003,$K35,8))</f>
        <v/>
      </c>
      <c r="H35" s="17">
        <f>IF($K35="","",INDEX('العهد والرحلات'!$A$1:$J$2003,$K35,9))</f>
        <v/>
      </c>
      <c r="I35" s="18">
        <f>IF($K35="","",INDEX('العهد والرحلات'!$A$1:$J$2003,$K35,10))</f>
        <v/>
      </c>
      <c r="K35">
        <f t="array" ref="K35">IFERROR(SMALL(IF('العهد والرحلات'!$B$4:$B$2003=$B$4,ROW('العهد والرحلات'!$B$4:$B$2003)),25),"")</f>
        <v/>
      </c>
    </row>
    <row r="36">
      <c r="A36" s="16">
        <f>IF($K36="","",26)</f>
        <v/>
      </c>
      <c r="B36" s="16">
        <f>IF($K36="","",INDEX('العهد والرحلات'!$A$1:$J$2003,$K36,3))</f>
        <v/>
      </c>
      <c r="C36" s="17">
        <f>IF($K36="","",INDEX('العهد والرحلات'!$A$1:$J$2003,$K36,4))</f>
        <v/>
      </c>
      <c r="D36" s="17">
        <f>IF($K36="","",INDEX('العهد والرحلات'!$A$1:$J$2003,$K36,5))</f>
        <v/>
      </c>
      <c r="E36" s="17">
        <f>IF($K36="","",INDEX('العهد والرحلات'!$A$1:$J$2003,$K36,6))</f>
        <v/>
      </c>
      <c r="F36" s="17">
        <f>IF($K36="","",INDEX('العهد والرحلات'!$A$1:$J$2003,$K36,7))</f>
        <v/>
      </c>
      <c r="G36" s="17">
        <f>IF($K36="","",INDEX('العهد والرحلات'!$A$1:$J$2003,$K36,8))</f>
        <v/>
      </c>
      <c r="H36" s="17">
        <f>IF($K36="","",INDEX('العهد والرحلات'!$A$1:$J$2003,$K36,9))</f>
        <v/>
      </c>
      <c r="I36" s="18">
        <f>IF($K36="","",INDEX('العهد والرحلات'!$A$1:$J$2003,$K36,10))</f>
        <v/>
      </c>
      <c r="K36">
        <f t="array" ref="K36">IFERROR(SMALL(IF('العهد والرحلات'!$B$4:$B$2003=$B$4,ROW('العهد والرحلات'!$B$4:$B$2003)),26),"")</f>
        <v/>
      </c>
    </row>
    <row r="37">
      <c r="A37" s="16">
        <f>IF($K37="","",27)</f>
        <v/>
      </c>
      <c r="B37" s="16">
        <f>IF($K37="","",INDEX('العهد والرحلات'!$A$1:$J$2003,$K37,3))</f>
        <v/>
      </c>
      <c r="C37" s="17">
        <f>IF($K37="","",INDEX('العهد والرحلات'!$A$1:$J$2003,$K37,4))</f>
        <v/>
      </c>
      <c r="D37" s="17">
        <f>IF($K37="","",INDEX('العهد والرحلات'!$A$1:$J$2003,$K37,5))</f>
        <v/>
      </c>
      <c r="E37" s="17">
        <f>IF($K37="","",INDEX('العهد والرحلات'!$A$1:$J$2003,$K37,6))</f>
        <v/>
      </c>
      <c r="F37" s="17">
        <f>IF($K37="","",INDEX('العهد والرحلات'!$A$1:$J$2003,$K37,7))</f>
        <v/>
      </c>
      <c r="G37" s="17">
        <f>IF($K37="","",INDEX('العهد والرحلات'!$A$1:$J$2003,$K37,8))</f>
        <v/>
      </c>
      <c r="H37" s="17">
        <f>IF($K37="","",INDEX('العهد والرحلات'!$A$1:$J$2003,$K37,9))</f>
        <v/>
      </c>
      <c r="I37" s="18">
        <f>IF($K37="","",INDEX('العهد والرحلات'!$A$1:$J$2003,$K37,10))</f>
        <v/>
      </c>
      <c r="K37">
        <f t="array" ref="K37">IFERROR(SMALL(IF('العهد والرحلات'!$B$4:$B$2003=$B$4,ROW('العهد والرحلات'!$B$4:$B$2003)),27),"")</f>
        <v/>
      </c>
    </row>
    <row r="38">
      <c r="A38" s="16">
        <f>IF($K38="","",28)</f>
        <v/>
      </c>
      <c r="B38" s="16">
        <f>IF($K38="","",INDEX('العهد والرحلات'!$A$1:$J$2003,$K38,3))</f>
        <v/>
      </c>
      <c r="C38" s="17">
        <f>IF($K38="","",INDEX('العهد والرحلات'!$A$1:$J$2003,$K38,4))</f>
        <v/>
      </c>
      <c r="D38" s="17">
        <f>IF($K38="","",INDEX('العهد والرحلات'!$A$1:$J$2003,$K38,5))</f>
        <v/>
      </c>
      <c r="E38" s="17">
        <f>IF($K38="","",INDEX('العهد والرحلات'!$A$1:$J$2003,$K38,6))</f>
        <v/>
      </c>
      <c r="F38" s="17">
        <f>IF($K38="","",INDEX('العهد والرحلات'!$A$1:$J$2003,$K38,7))</f>
        <v/>
      </c>
      <c r="G38" s="17">
        <f>IF($K38="","",INDEX('العهد والرحلات'!$A$1:$J$2003,$K38,8))</f>
        <v/>
      </c>
      <c r="H38" s="17">
        <f>IF($K38="","",INDEX('العهد والرحلات'!$A$1:$J$2003,$K38,9))</f>
        <v/>
      </c>
      <c r="I38" s="18">
        <f>IF($K38="","",INDEX('العهد والرحلات'!$A$1:$J$2003,$K38,10))</f>
        <v/>
      </c>
      <c r="K38">
        <f t="array" ref="K38">IFERROR(SMALL(IF('العهد والرحلات'!$B$4:$B$2003=$B$4,ROW('العهد والرحلات'!$B$4:$B$2003)),28),"")</f>
        <v/>
      </c>
    </row>
    <row r="39">
      <c r="A39" s="16">
        <f>IF($K39="","",29)</f>
        <v/>
      </c>
      <c r="B39" s="16">
        <f>IF($K39="","",INDEX('العهد والرحلات'!$A$1:$J$2003,$K39,3))</f>
        <v/>
      </c>
      <c r="C39" s="17">
        <f>IF($K39="","",INDEX('العهد والرحلات'!$A$1:$J$2003,$K39,4))</f>
        <v/>
      </c>
      <c r="D39" s="17">
        <f>IF($K39="","",INDEX('العهد والرحلات'!$A$1:$J$2003,$K39,5))</f>
        <v/>
      </c>
      <c r="E39" s="17">
        <f>IF($K39="","",INDEX('العهد والرحلات'!$A$1:$J$2003,$K39,6))</f>
        <v/>
      </c>
      <c r="F39" s="17">
        <f>IF($K39="","",INDEX('العهد والرحلات'!$A$1:$J$2003,$K39,7))</f>
        <v/>
      </c>
      <c r="G39" s="17">
        <f>IF($K39="","",INDEX('العهد والرحلات'!$A$1:$J$2003,$K39,8))</f>
        <v/>
      </c>
      <c r="H39" s="17">
        <f>IF($K39="","",INDEX('العهد والرحلات'!$A$1:$J$2003,$K39,9))</f>
        <v/>
      </c>
      <c r="I39" s="18">
        <f>IF($K39="","",INDEX('العهد والرحلات'!$A$1:$J$2003,$K39,10))</f>
        <v/>
      </c>
      <c r="K39">
        <f t="array" ref="K39">IFERROR(SMALL(IF('العهد والرحلات'!$B$4:$B$2003=$B$4,ROW('العهد والرحلات'!$B$4:$B$2003)),29),"")</f>
        <v/>
      </c>
    </row>
    <row r="40">
      <c r="A40" s="16">
        <f>IF($K40="","",30)</f>
        <v/>
      </c>
      <c r="B40" s="16">
        <f>IF($K40="","",INDEX('العهد والرحلات'!$A$1:$J$2003,$K40,3))</f>
        <v/>
      </c>
      <c r="C40" s="17">
        <f>IF($K40="","",INDEX('العهد والرحلات'!$A$1:$J$2003,$K40,4))</f>
        <v/>
      </c>
      <c r="D40" s="17">
        <f>IF($K40="","",INDEX('العهد والرحلات'!$A$1:$J$2003,$K40,5))</f>
        <v/>
      </c>
      <c r="E40" s="17">
        <f>IF($K40="","",INDEX('العهد والرحلات'!$A$1:$J$2003,$K40,6))</f>
        <v/>
      </c>
      <c r="F40" s="17">
        <f>IF($K40="","",INDEX('العهد والرحلات'!$A$1:$J$2003,$K40,7))</f>
        <v/>
      </c>
      <c r="G40" s="17">
        <f>IF($K40="","",INDEX('العهد والرحلات'!$A$1:$J$2003,$K40,8))</f>
        <v/>
      </c>
      <c r="H40" s="17">
        <f>IF($K40="","",INDEX('العهد والرحلات'!$A$1:$J$2003,$K40,9))</f>
        <v/>
      </c>
      <c r="I40" s="18">
        <f>IF($K40="","",INDEX('العهد والرحلات'!$A$1:$J$2003,$K40,10))</f>
        <v/>
      </c>
      <c r="K40">
        <f t="array" ref="K40">IFERROR(SMALL(IF('العهد والرحلات'!$B$4:$B$2003=$B$4,ROW('العهد والرحلات'!$B$4:$B$2003)),30),"")</f>
        <v/>
      </c>
    </row>
    <row r="41">
      <c r="A41" s="19" t="n"/>
      <c r="B41" s="19" t="inlineStr">
        <is>
          <t>إجمالي عُهد اليوم</t>
        </is>
      </c>
      <c r="C41" s="19" t="n"/>
      <c r="D41" s="19" t="n"/>
      <c r="E41" s="19" t="n"/>
      <c r="F41" s="19" t="n"/>
      <c r="G41" s="19" t="n"/>
      <c r="H41" s="19" t="n"/>
      <c r="I41" s="20">
        <f>SUM($I11:$I40)</f>
        <v/>
      </c>
    </row>
    <row r="43" ht="22" customHeight="1">
      <c r="A43" s="14" t="inlineStr">
        <is>
          <t>إيصالات اليوم</t>
        </is>
      </c>
    </row>
    <row r="44" ht="22" customHeight="1">
      <c r="A44" s="21" t="inlineStr">
        <is>
          <t>م</t>
        </is>
      </c>
      <c r="B44" s="21" t="inlineStr">
        <is>
          <t>المبلغ</t>
        </is>
      </c>
      <c r="C44" s="21" t="inlineStr">
        <is>
          <t>البيان / الجهة</t>
        </is>
      </c>
      <c r="D44" s="65" t="n"/>
      <c r="E44" s="65" t="n"/>
      <c r="F44" s="65" t="n"/>
      <c r="G44" s="65" t="n"/>
      <c r="H44" s="65" t="n"/>
      <c r="I44" s="8" t="n"/>
    </row>
    <row r="45">
      <c r="A45" s="16">
        <f>IF($L45="","",1)</f>
        <v/>
      </c>
      <c r="B45" s="18">
        <f>IF($L45="","",INDEX('الإيصالات'!$A$1:$D$2003,$L45,3))</f>
        <v/>
      </c>
      <c r="C45" s="22">
        <f>IF($L45="","",INDEX('الإيصالات'!$A$1:$D$2003,$L45,4))</f>
        <v/>
      </c>
      <c r="D45" s="65" t="n"/>
      <c r="E45" s="65" t="n"/>
      <c r="F45" s="65" t="n"/>
      <c r="G45" s="65" t="n"/>
      <c r="H45" s="65" t="n"/>
      <c r="I45" s="8" t="n"/>
      <c r="L45">
        <f t="array" ref="L45">IFERROR(SMALL(IF('الإيصالات'!$B$4:$B$2003=$B$4,ROW('الإيصالات'!$B$4:$B$2003)),1),"")</f>
        <v/>
      </c>
    </row>
    <row r="46">
      <c r="A46" s="16">
        <f>IF($L46="","",2)</f>
        <v/>
      </c>
      <c r="B46" s="18">
        <f>IF($L46="","",INDEX('الإيصالات'!$A$1:$D$2003,$L46,3))</f>
        <v/>
      </c>
      <c r="C46" s="22">
        <f>IF($L46="","",INDEX('الإيصالات'!$A$1:$D$2003,$L46,4))</f>
        <v/>
      </c>
      <c r="D46" s="65" t="n"/>
      <c r="E46" s="65" t="n"/>
      <c r="F46" s="65" t="n"/>
      <c r="G46" s="65" t="n"/>
      <c r="H46" s="65" t="n"/>
      <c r="I46" s="8" t="n"/>
      <c r="L46">
        <f t="array" ref="L46">IFERROR(SMALL(IF('الإيصالات'!$B$4:$B$2003=$B$4,ROW('الإيصالات'!$B$4:$B$2003)),2),"")</f>
        <v/>
      </c>
    </row>
    <row r="47">
      <c r="A47" s="16">
        <f>IF($L47="","",3)</f>
        <v/>
      </c>
      <c r="B47" s="18">
        <f>IF($L47="","",INDEX('الإيصالات'!$A$1:$D$2003,$L47,3))</f>
        <v/>
      </c>
      <c r="C47" s="22">
        <f>IF($L47="","",INDEX('الإيصالات'!$A$1:$D$2003,$L47,4))</f>
        <v/>
      </c>
      <c r="D47" s="65" t="n"/>
      <c r="E47" s="65" t="n"/>
      <c r="F47" s="65" t="n"/>
      <c r="G47" s="65" t="n"/>
      <c r="H47" s="65" t="n"/>
      <c r="I47" s="8" t="n"/>
      <c r="L47">
        <f t="array" ref="L47">IFERROR(SMALL(IF('الإيصالات'!$B$4:$B$2003=$B$4,ROW('الإيصالات'!$B$4:$B$2003)),3),"")</f>
        <v/>
      </c>
    </row>
    <row r="48">
      <c r="A48" s="16">
        <f>IF($L48="","",4)</f>
        <v/>
      </c>
      <c r="B48" s="18">
        <f>IF($L48="","",INDEX('الإيصالات'!$A$1:$D$2003,$L48,3))</f>
        <v/>
      </c>
      <c r="C48" s="22">
        <f>IF($L48="","",INDEX('الإيصالات'!$A$1:$D$2003,$L48,4))</f>
        <v/>
      </c>
      <c r="D48" s="65" t="n"/>
      <c r="E48" s="65" t="n"/>
      <c r="F48" s="65" t="n"/>
      <c r="G48" s="65" t="n"/>
      <c r="H48" s="65" t="n"/>
      <c r="I48" s="8" t="n"/>
      <c r="L48">
        <f t="array" ref="L48">IFERROR(SMALL(IF('الإيصالات'!$B$4:$B$2003=$B$4,ROW('الإيصالات'!$B$4:$B$2003)),4),"")</f>
        <v/>
      </c>
    </row>
    <row r="49">
      <c r="A49" s="16">
        <f>IF($L49="","",5)</f>
        <v/>
      </c>
      <c r="B49" s="18">
        <f>IF($L49="","",INDEX('الإيصالات'!$A$1:$D$2003,$L49,3))</f>
        <v/>
      </c>
      <c r="C49" s="22">
        <f>IF($L49="","",INDEX('الإيصالات'!$A$1:$D$2003,$L49,4))</f>
        <v/>
      </c>
      <c r="D49" s="65" t="n"/>
      <c r="E49" s="65" t="n"/>
      <c r="F49" s="65" t="n"/>
      <c r="G49" s="65" t="n"/>
      <c r="H49" s="65" t="n"/>
      <c r="I49" s="8" t="n"/>
      <c r="L49">
        <f t="array" ref="L49">IFERROR(SMALL(IF('الإيصالات'!$B$4:$B$2003=$B$4,ROW('الإيصالات'!$B$4:$B$2003)),5),"")</f>
        <v/>
      </c>
    </row>
    <row r="50">
      <c r="A50" s="16">
        <f>IF($L50="","",6)</f>
        <v/>
      </c>
      <c r="B50" s="18">
        <f>IF($L50="","",INDEX('الإيصالات'!$A$1:$D$2003,$L50,3))</f>
        <v/>
      </c>
      <c r="C50" s="22">
        <f>IF($L50="","",INDEX('الإيصالات'!$A$1:$D$2003,$L50,4))</f>
        <v/>
      </c>
      <c r="D50" s="65" t="n"/>
      <c r="E50" s="65" t="n"/>
      <c r="F50" s="65" t="n"/>
      <c r="G50" s="65" t="n"/>
      <c r="H50" s="65" t="n"/>
      <c r="I50" s="8" t="n"/>
      <c r="L50">
        <f t="array" ref="L50">IFERROR(SMALL(IF('الإيصالات'!$B$4:$B$2003=$B$4,ROW('الإيصالات'!$B$4:$B$2003)),6),"")</f>
        <v/>
      </c>
    </row>
    <row r="51">
      <c r="A51" s="16">
        <f>IF($L51="","",7)</f>
        <v/>
      </c>
      <c r="B51" s="18">
        <f>IF($L51="","",INDEX('الإيصالات'!$A$1:$D$2003,$L51,3))</f>
        <v/>
      </c>
      <c r="C51" s="22">
        <f>IF($L51="","",INDEX('الإيصالات'!$A$1:$D$2003,$L51,4))</f>
        <v/>
      </c>
      <c r="D51" s="65" t="n"/>
      <c r="E51" s="65" t="n"/>
      <c r="F51" s="65" t="n"/>
      <c r="G51" s="65" t="n"/>
      <c r="H51" s="65" t="n"/>
      <c r="I51" s="8" t="n"/>
      <c r="L51">
        <f t="array" ref="L51">IFERROR(SMALL(IF('الإيصالات'!$B$4:$B$2003=$B$4,ROW('الإيصالات'!$B$4:$B$2003)),7),"")</f>
        <v/>
      </c>
    </row>
    <row r="52">
      <c r="A52" s="16">
        <f>IF($L52="","",8)</f>
        <v/>
      </c>
      <c r="B52" s="18">
        <f>IF($L52="","",INDEX('الإيصالات'!$A$1:$D$2003,$L52,3))</f>
        <v/>
      </c>
      <c r="C52" s="22">
        <f>IF($L52="","",INDEX('الإيصالات'!$A$1:$D$2003,$L52,4))</f>
        <v/>
      </c>
      <c r="D52" s="65" t="n"/>
      <c r="E52" s="65" t="n"/>
      <c r="F52" s="65" t="n"/>
      <c r="G52" s="65" t="n"/>
      <c r="H52" s="65" t="n"/>
      <c r="I52" s="8" t="n"/>
      <c r="L52">
        <f t="array" ref="L52">IFERROR(SMALL(IF('الإيصالات'!$B$4:$B$2003=$B$4,ROW('الإيصالات'!$B$4:$B$2003)),8),"")</f>
        <v/>
      </c>
    </row>
    <row r="53">
      <c r="A53" s="16">
        <f>IF($L53="","",9)</f>
        <v/>
      </c>
      <c r="B53" s="18">
        <f>IF($L53="","",INDEX('الإيصالات'!$A$1:$D$2003,$L53,3))</f>
        <v/>
      </c>
      <c r="C53" s="22">
        <f>IF($L53="","",INDEX('الإيصالات'!$A$1:$D$2003,$L53,4))</f>
        <v/>
      </c>
      <c r="D53" s="65" t="n"/>
      <c r="E53" s="65" t="n"/>
      <c r="F53" s="65" t="n"/>
      <c r="G53" s="65" t="n"/>
      <c r="H53" s="65" t="n"/>
      <c r="I53" s="8" t="n"/>
      <c r="L53">
        <f t="array" ref="L53">IFERROR(SMALL(IF('الإيصالات'!$B$4:$B$2003=$B$4,ROW('الإيصالات'!$B$4:$B$2003)),9),"")</f>
        <v/>
      </c>
    </row>
    <row r="54">
      <c r="A54" s="16">
        <f>IF($L54="","",10)</f>
        <v/>
      </c>
      <c r="B54" s="18">
        <f>IF($L54="","",INDEX('الإيصالات'!$A$1:$D$2003,$L54,3))</f>
        <v/>
      </c>
      <c r="C54" s="22">
        <f>IF($L54="","",INDEX('الإيصالات'!$A$1:$D$2003,$L54,4))</f>
        <v/>
      </c>
      <c r="D54" s="65" t="n"/>
      <c r="E54" s="65" t="n"/>
      <c r="F54" s="65" t="n"/>
      <c r="G54" s="65" t="n"/>
      <c r="H54" s="65" t="n"/>
      <c r="I54" s="8" t="n"/>
      <c r="L54">
        <f t="array" ref="L54">IFERROR(SMALL(IF('الإيصالات'!$B$4:$B$2003=$B$4,ROW('الإيصالات'!$B$4:$B$2003)),10),"")</f>
        <v/>
      </c>
    </row>
    <row r="55">
      <c r="A55" s="16">
        <f>IF($L55="","",11)</f>
        <v/>
      </c>
      <c r="B55" s="18">
        <f>IF($L55="","",INDEX('الإيصالات'!$A$1:$D$2003,$L55,3))</f>
        <v/>
      </c>
      <c r="C55" s="22">
        <f>IF($L55="","",INDEX('الإيصالات'!$A$1:$D$2003,$L55,4))</f>
        <v/>
      </c>
      <c r="D55" s="65" t="n"/>
      <c r="E55" s="65" t="n"/>
      <c r="F55" s="65" t="n"/>
      <c r="G55" s="65" t="n"/>
      <c r="H55" s="65" t="n"/>
      <c r="I55" s="8" t="n"/>
      <c r="L55">
        <f t="array" ref="L55">IFERROR(SMALL(IF('الإيصالات'!$B$4:$B$2003=$B$4,ROW('الإيصالات'!$B$4:$B$2003)),11),"")</f>
        <v/>
      </c>
    </row>
    <row r="56">
      <c r="A56" s="16">
        <f>IF($L56="","",12)</f>
        <v/>
      </c>
      <c r="B56" s="18">
        <f>IF($L56="","",INDEX('الإيصالات'!$A$1:$D$2003,$L56,3))</f>
        <v/>
      </c>
      <c r="C56" s="22">
        <f>IF($L56="","",INDEX('الإيصالات'!$A$1:$D$2003,$L56,4))</f>
        <v/>
      </c>
      <c r="D56" s="65" t="n"/>
      <c r="E56" s="65" t="n"/>
      <c r="F56" s="65" t="n"/>
      <c r="G56" s="65" t="n"/>
      <c r="H56" s="65" t="n"/>
      <c r="I56" s="8" t="n"/>
      <c r="L56">
        <f t="array" ref="L56">IFERROR(SMALL(IF('الإيصالات'!$B$4:$B$2003=$B$4,ROW('الإيصالات'!$B$4:$B$2003)),12),"")</f>
        <v/>
      </c>
    </row>
    <row r="57">
      <c r="A57" s="16">
        <f>IF($L57="","",13)</f>
        <v/>
      </c>
      <c r="B57" s="18">
        <f>IF($L57="","",INDEX('الإيصالات'!$A$1:$D$2003,$L57,3))</f>
        <v/>
      </c>
      <c r="C57" s="22">
        <f>IF($L57="","",INDEX('الإيصالات'!$A$1:$D$2003,$L57,4))</f>
        <v/>
      </c>
      <c r="D57" s="65" t="n"/>
      <c r="E57" s="65" t="n"/>
      <c r="F57" s="65" t="n"/>
      <c r="G57" s="65" t="n"/>
      <c r="H57" s="65" t="n"/>
      <c r="I57" s="8" t="n"/>
      <c r="L57">
        <f t="array" ref="L57">IFERROR(SMALL(IF('الإيصالات'!$B$4:$B$2003=$B$4,ROW('الإيصالات'!$B$4:$B$2003)),13),"")</f>
        <v/>
      </c>
    </row>
    <row r="58">
      <c r="A58" s="16">
        <f>IF($L58="","",14)</f>
        <v/>
      </c>
      <c r="B58" s="18">
        <f>IF($L58="","",INDEX('الإيصالات'!$A$1:$D$2003,$L58,3))</f>
        <v/>
      </c>
      <c r="C58" s="22">
        <f>IF($L58="","",INDEX('الإيصالات'!$A$1:$D$2003,$L58,4))</f>
        <v/>
      </c>
      <c r="D58" s="65" t="n"/>
      <c r="E58" s="65" t="n"/>
      <c r="F58" s="65" t="n"/>
      <c r="G58" s="65" t="n"/>
      <c r="H58" s="65" t="n"/>
      <c r="I58" s="8" t="n"/>
      <c r="L58">
        <f t="array" ref="L58">IFERROR(SMALL(IF('الإيصالات'!$B$4:$B$2003=$B$4,ROW('الإيصالات'!$B$4:$B$2003)),14),"")</f>
        <v/>
      </c>
    </row>
    <row r="59">
      <c r="A59" s="16">
        <f>IF($L59="","",15)</f>
        <v/>
      </c>
      <c r="B59" s="18">
        <f>IF($L59="","",INDEX('الإيصالات'!$A$1:$D$2003,$L59,3))</f>
        <v/>
      </c>
      <c r="C59" s="22">
        <f>IF($L59="","",INDEX('الإيصالات'!$A$1:$D$2003,$L59,4))</f>
        <v/>
      </c>
      <c r="D59" s="65" t="n"/>
      <c r="E59" s="65" t="n"/>
      <c r="F59" s="65" t="n"/>
      <c r="G59" s="65" t="n"/>
      <c r="H59" s="65" t="n"/>
      <c r="I59" s="8" t="n"/>
      <c r="L59">
        <f t="array" ref="L59">IFERROR(SMALL(IF('الإيصالات'!$B$4:$B$2003=$B$4,ROW('الإيصالات'!$B$4:$B$2003)),15),"")</f>
        <v/>
      </c>
    </row>
    <row r="60">
      <c r="A60" s="16">
        <f>IF($L60="","",16)</f>
        <v/>
      </c>
      <c r="B60" s="18">
        <f>IF($L60="","",INDEX('الإيصالات'!$A$1:$D$2003,$L60,3))</f>
        <v/>
      </c>
      <c r="C60" s="22">
        <f>IF($L60="","",INDEX('الإيصالات'!$A$1:$D$2003,$L60,4))</f>
        <v/>
      </c>
      <c r="D60" s="65" t="n"/>
      <c r="E60" s="65" t="n"/>
      <c r="F60" s="65" t="n"/>
      <c r="G60" s="65" t="n"/>
      <c r="H60" s="65" t="n"/>
      <c r="I60" s="8" t="n"/>
      <c r="L60">
        <f t="array" ref="L60">IFERROR(SMALL(IF('الإيصالات'!$B$4:$B$2003=$B$4,ROW('الإيصالات'!$B$4:$B$2003)),16),"")</f>
        <v/>
      </c>
    </row>
    <row r="61">
      <c r="A61" s="16">
        <f>IF($L61="","",17)</f>
        <v/>
      </c>
      <c r="B61" s="18">
        <f>IF($L61="","",INDEX('الإيصالات'!$A$1:$D$2003,$L61,3))</f>
        <v/>
      </c>
      <c r="C61" s="22">
        <f>IF($L61="","",INDEX('الإيصالات'!$A$1:$D$2003,$L61,4))</f>
        <v/>
      </c>
      <c r="D61" s="65" t="n"/>
      <c r="E61" s="65" t="n"/>
      <c r="F61" s="65" t="n"/>
      <c r="G61" s="65" t="n"/>
      <c r="H61" s="65" t="n"/>
      <c r="I61" s="8" t="n"/>
      <c r="L61">
        <f t="array" ref="L61">IFERROR(SMALL(IF('الإيصالات'!$B$4:$B$2003=$B$4,ROW('الإيصالات'!$B$4:$B$2003)),17),"")</f>
        <v/>
      </c>
    </row>
    <row r="62">
      <c r="A62" s="16">
        <f>IF($L62="","",18)</f>
        <v/>
      </c>
      <c r="B62" s="18">
        <f>IF($L62="","",INDEX('الإيصالات'!$A$1:$D$2003,$L62,3))</f>
        <v/>
      </c>
      <c r="C62" s="22">
        <f>IF($L62="","",INDEX('الإيصالات'!$A$1:$D$2003,$L62,4))</f>
        <v/>
      </c>
      <c r="D62" s="65" t="n"/>
      <c r="E62" s="65" t="n"/>
      <c r="F62" s="65" t="n"/>
      <c r="G62" s="65" t="n"/>
      <c r="H62" s="65" t="n"/>
      <c r="I62" s="8" t="n"/>
      <c r="L62">
        <f t="array" ref="L62">IFERROR(SMALL(IF('الإيصالات'!$B$4:$B$2003=$B$4,ROW('الإيصالات'!$B$4:$B$2003)),18),"")</f>
        <v/>
      </c>
    </row>
    <row r="63">
      <c r="A63" s="19" t="n"/>
      <c r="B63" s="20">
        <f>SUM($B45:$B62)</f>
        <v/>
      </c>
      <c r="C63" s="19" t="inlineStr">
        <is>
          <t>إجمالي إيصالات اليوم</t>
        </is>
      </c>
      <c r="D63" s="19" t="n"/>
      <c r="E63" s="19" t="n"/>
      <c r="F63" s="19" t="n"/>
      <c r="G63" s="19" t="n"/>
      <c r="H63" s="19" t="n"/>
      <c r="I63" s="19" t="n"/>
    </row>
    <row r="65" ht="24" customHeight="1">
      <c r="B65" s="66">
        <f>IFERROR(INDEX('سجل اليومية'!$E$4:$E$503,MATCH($B$4,'سجل اليومية'!$B$4:$B$503,0)),0)</f>
        <v/>
      </c>
      <c r="C65" s="8" t="n"/>
      <c r="D65" s="13" t="inlineStr">
        <is>
          <t>الإجمالي (العهدة المتاحة)</t>
        </is>
      </c>
      <c r="E65" s="65" t="n"/>
      <c r="F65" s="8" t="n"/>
    </row>
    <row r="66" ht="20" customHeight="1">
      <c r="B66" s="67">
        <f>IFERROR(INDEX('سجل اليومية'!$F$4:$F$503,MATCH($B$4,'سجل اليومية'!$B$4:$B$503,0)),0)</f>
        <v/>
      </c>
      <c r="C66" s="8" t="n"/>
      <c r="D66" s="25" t="inlineStr">
        <is>
          <t>إجمالي العهد (رحلات اليوم)</t>
        </is>
      </c>
      <c r="E66" s="65" t="n"/>
      <c r="F66" s="8" t="n"/>
    </row>
    <row r="67" ht="20" customHeight="1">
      <c r="B67" s="67">
        <f>IFERROR(INDEX('سجل اليومية'!$G$4:$G$503,MATCH($B$4,'سجل اليومية'!$B$4:$B$503,0)),0)</f>
        <v/>
      </c>
      <c r="C67" s="8" t="n"/>
      <c r="D67" s="25" t="inlineStr">
        <is>
          <t>إجمالي الإيصالات</t>
        </is>
      </c>
      <c r="E67" s="65" t="n"/>
      <c r="F67" s="8" t="n"/>
    </row>
    <row r="68" ht="20" customHeight="1">
      <c r="B68" s="67">
        <f>IFERROR(INDEX('سجل اليومية'!$H$4:$H$503,MATCH($B$4,'سجل اليومية'!$B$4:$B$503,0)),0)</f>
        <v/>
      </c>
      <c r="C68" s="8" t="n"/>
      <c r="D68" s="25" t="inlineStr">
        <is>
          <t>مصروفات أخرى</t>
        </is>
      </c>
      <c r="E68" s="65" t="n"/>
      <c r="F68" s="8" t="n"/>
    </row>
    <row r="69" ht="24" customHeight="1">
      <c r="B69" s="68">
        <f>IFERROR(INDEX('سجل اليومية'!$I$4:$I$503,MATCH($B$4,'سجل اليومية'!$B$4:$B$503,0)),0)</f>
        <v/>
      </c>
      <c r="C69" s="8" t="n"/>
      <c r="D69" s="25" t="inlineStr">
        <is>
          <t>المصروف (إجمالي المنصرف)</t>
        </is>
      </c>
      <c r="E69" s="65" t="n"/>
      <c r="F69" s="8" t="n"/>
    </row>
    <row r="70" ht="24" customHeight="1">
      <c r="B70" s="69">
        <f>IFERROR(INDEX('سجل اليومية'!$J$4:$J$503,MATCH($B$4,'سجل اليومية'!$B$4:$B$503,0)),0)</f>
        <v/>
      </c>
      <c r="C70" s="8" t="n"/>
      <c r="D70" s="28" t="inlineStr">
        <is>
          <t>رصيد عهد مُرحَّل لليوم التالي</t>
        </is>
      </c>
      <c r="E70" s="65" t="n"/>
      <c r="F70" s="8" t="n"/>
    </row>
    <row r="72">
      <c r="B72" s="29" t="n"/>
      <c r="C72" s="70" t="n"/>
      <c r="D72" s="30" t="inlineStr">
        <is>
          <t>توقيع المسؤول:</t>
        </is>
      </c>
    </row>
  </sheetData>
  <mergeCells count="45">
    <mergeCell ref="C61:I61"/>
    <mergeCell ref="C52:I52"/>
    <mergeCell ref="B7:C7"/>
    <mergeCell ref="C48:I48"/>
    <mergeCell ref="B72:C72"/>
    <mergeCell ref="D70:F70"/>
    <mergeCell ref="D66:F66"/>
    <mergeCell ref="B66:C66"/>
    <mergeCell ref="C57:I57"/>
    <mergeCell ref="C53:I53"/>
    <mergeCell ref="D6:E6"/>
    <mergeCell ref="B70:C70"/>
    <mergeCell ref="A2:I2"/>
    <mergeCell ref="C49:I49"/>
    <mergeCell ref="B67:C67"/>
    <mergeCell ref="C62:I62"/>
    <mergeCell ref="D68:F68"/>
    <mergeCell ref="C58:I58"/>
    <mergeCell ref="C45:I45"/>
    <mergeCell ref="B69:C69"/>
    <mergeCell ref="A43:I43"/>
    <mergeCell ref="D67:F67"/>
    <mergeCell ref="D7:E7"/>
    <mergeCell ref="D72:E72"/>
    <mergeCell ref="A9:I9"/>
    <mergeCell ref="D4:E4"/>
    <mergeCell ref="C47:I47"/>
    <mergeCell ref="C54:I54"/>
    <mergeCell ref="D69:F69"/>
    <mergeCell ref="B65:C65"/>
    <mergeCell ref="C55:I55"/>
    <mergeCell ref="C50:I50"/>
    <mergeCell ref="B6:C6"/>
    <mergeCell ref="C44:I44"/>
    <mergeCell ref="B68:C68"/>
    <mergeCell ref="C56:I56"/>
    <mergeCell ref="B5:C5"/>
    <mergeCell ref="D65:F65"/>
    <mergeCell ref="D5:E5"/>
    <mergeCell ref="C59:I59"/>
    <mergeCell ref="A1:I1"/>
    <mergeCell ref="C46:I46"/>
    <mergeCell ref="C60:I60"/>
    <mergeCell ref="C51:I51"/>
    <mergeCell ref="B4:C4"/>
  </mergeCell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5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4" customWidth="1" min="4" max="4"/>
    <col width="16" customWidth="1" min="5" max="5"/>
    <col width="15" customWidth="1" min="6" max="6"/>
    <col width="14" customWidth="1" min="7" max="7"/>
    <col width="13" customWidth="1" min="8" max="8"/>
    <col width="15" customWidth="1" min="9" max="9"/>
    <col width="18" customWidth="1" min="10" max="10"/>
  </cols>
  <sheetData>
    <row r="1" ht="34" customHeight="1">
      <c r="A1" s="1" t="inlineStr">
        <is>
          <t>شركة المتوكل  —  سجل اليومية</t>
        </is>
      </c>
    </row>
    <row r="2" ht="20" customHeight="1">
      <c r="A2" s="3" t="inlineStr">
        <is>
          <t>تقفيل كل يوم في صف — الرصيد يترحّل تلقائياً لليوم التالي</t>
        </is>
      </c>
    </row>
    <row r="3" ht="38" customHeight="1">
      <c r="A3" s="31" t="inlineStr">
        <is>
          <t>م</t>
        </is>
      </c>
      <c r="B3" s="31" t="inlineStr">
        <is>
          <t>التاريخ</t>
        </is>
      </c>
      <c r="C3" s="32" t="inlineStr">
        <is>
          <t>باقي عهدة سابق</t>
        </is>
      </c>
      <c r="D3" s="33" t="inlineStr">
        <is>
          <t>العهدة المستلمة</t>
        </is>
      </c>
      <c r="E3" s="34" t="inlineStr">
        <is>
          <t>إجمالي العهدة المتاحة</t>
        </is>
      </c>
      <c r="F3" s="35" t="inlineStr">
        <is>
          <t>إجمالي العهد (الرحلات)</t>
        </is>
      </c>
      <c r="G3" s="35" t="inlineStr">
        <is>
          <t>إجمالي الإيصالات</t>
        </is>
      </c>
      <c r="H3" s="35" t="inlineStr">
        <is>
          <t>مصروفات أخرى</t>
        </is>
      </c>
      <c r="I3" s="35" t="inlineStr">
        <is>
          <t>إجمالي المصروف</t>
        </is>
      </c>
      <c r="J3" s="36" t="inlineStr">
        <is>
          <t>رصيد عهد مُرحَّل لليوم التالي</t>
        </is>
      </c>
    </row>
    <row r="4">
      <c r="A4" s="16">
        <f>IF($B4="","",COUNTA($B$4:$B4))</f>
        <v/>
      </c>
      <c r="B4" s="71" t="n"/>
      <c r="C4" s="18">
        <f>IF($B4="","",رصيد_افتتاحي)</f>
        <v/>
      </c>
      <c r="D4" s="38" t="n"/>
      <c r="E4" s="18">
        <f>IF($B4="","",N($C4)+N($D4))</f>
        <v/>
      </c>
      <c r="F4" s="18">
        <f>IF($B4="","",SUMIFS('العهد والرحلات'!$J$4:$J$2003,'العهد والرحلات'!$B$4:$B$2003,$B4))</f>
        <v/>
      </c>
      <c r="G4" s="18">
        <f>IF($B4="","",SUMIFS('الإيصالات'!$C$4:$C$2003,'الإيصالات'!$B$4:$B$2003,$B4))</f>
        <v/>
      </c>
      <c r="H4" s="38" t="n"/>
      <c r="I4" s="18">
        <f>IF($B4="","",N($F4)+N($G4)+N($H4))</f>
        <v/>
      </c>
      <c r="J4" s="18">
        <f>IF($B4="","",N($E4)-N($I4))</f>
        <v/>
      </c>
    </row>
    <row r="5">
      <c r="A5" s="16">
        <f>IF($B5="","",COUNTA($B$4:$B5))</f>
        <v/>
      </c>
      <c r="B5" s="72" t="n"/>
      <c r="C5" s="18">
        <f>IF($B5="","",N($J4))</f>
        <v/>
      </c>
      <c r="D5" s="40" t="n"/>
      <c r="E5" s="18">
        <f>IF($B5="","",N($C5)+N($D5))</f>
        <v/>
      </c>
      <c r="F5" s="18">
        <f>IF($B5="","",SUMIFS('العهد والرحلات'!$J$4:$J$2003,'العهد والرحلات'!$B$4:$B$2003,$B5))</f>
        <v/>
      </c>
      <c r="G5" s="18">
        <f>IF($B5="","",SUMIFS('الإيصالات'!$C$4:$C$2003,'الإيصالات'!$B$4:$B$2003,$B5))</f>
        <v/>
      </c>
      <c r="H5" s="40" t="n"/>
      <c r="I5" s="18">
        <f>IF($B5="","",N($F5)+N($G5)+N($H5))</f>
        <v/>
      </c>
      <c r="J5" s="18">
        <f>IF($B5="","",N($E5)-N($I5))</f>
        <v/>
      </c>
    </row>
    <row r="6">
      <c r="A6" s="16">
        <f>IF($B6="","",COUNTA($B$4:$B6))</f>
        <v/>
      </c>
      <c r="B6" s="71" t="n"/>
      <c r="C6" s="18">
        <f>IF($B6="","",N($J5))</f>
        <v/>
      </c>
      <c r="D6" s="38" t="n"/>
      <c r="E6" s="18">
        <f>IF($B6="","",N($C6)+N($D6))</f>
        <v/>
      </c>
      <c r="F6" s="18">
        <f>IF($B6="","",SUMIFS('العهد والرحلات'!$J$4:$J$2003,'العهد والرحلات'!$B$4:$B$2003,$B6))</f>
        <v/>
      </c>
      <c r="G6" s="18">
        <f>IF($B6="","",SUMIFS('الإيصالات'!$C$4:$C$2003,'الإيصالات'!$B$4:$B$2003,$B6))</f>
        <v/>
      </c>
      <c r="H6" s="38" t="n"/>
      <c r="I6" s="18">
        <f>IF($B6="","",N($F6)+N($G6)+N($H6))</f>
        <v/>
      </c>
      <c r="J6" s="18">
        <f>IF($B6="","",N($E6)-N($I6))</f>
        <v/>
      </c>
    </row>
    <row r="7">
      <c r="A7" s="16">
        <f>IF($B7="","",COUNTA($B$4:$B7))</f>
        <v/>
      </c>
      <c r="B7" s="72" t="n"/>
      <c r="C7" s="18">
        <f>IF($B7="","",N($J6))</f>
        <v/>
      </c>
      <c r="D7" s="40" t="n"/>
      <c r="E7" s="18">
        <f>IF($B7="","",N($C7)+N($D7))</f>
        <v/>
      </c>
      <c r="F7" s="18">
        <f>IF($B7="","",SUMIFS('العهد والرحلات'!$J$4:$J$2003,'العهد والرحلات'!$B$4:$B$2003,$B7))</f>
        <v/>
      </c>
      <c r="G7" s="18">
        <f>IF($B7="","",SUMIFS('الإيصالات'!$C$4:$C$2003,'الإيصالات'!$B$4:$B$2003,$B7))</f>
        <v/>
      </c>
      <c r="H7" s="40" t="n"/>
      <c r="I7" s="18">
        <f>IF($B7="","",N($F7)+N($G7)+N($H7))</f>
        <v/>
      </c>
      <c r="J7" s="18">
        <f>IF($B7="","",N($E7)-N($I7))</f>
        <v/>
      </c>
    </row>
    <row r="8">
      <c r="A8" s="16">
        <f>IF($B8="","",COUNTA($B$4:$B8))</f>
        <v/>
      </c>
      <c r="B8" s="71" t="n"/>
      <c r="C8" s="18">
        <f>IF($B8="","",N($J7))</f>
        <v/>
      </c>
      <c r="D8" s="38" t="n"/>
      <c r="E8" s="18">
        <f>IF($B8="","",N($C8)+N($D8))</f>
        <v/>
      </c>
      <c r="F8" s="18">
        <f>IF($B8="","",SUMIFS('العهد والرحلات'!$J$4:$J$2003,'العهد والرحلات'!$B$4:$B$2003,$B8))</f>
        <v/>
      </c>
      <c r="G8" s="18">
        <f>IF($B8="","",SUMIFS('الإيصالات'!$C$4:$C$2003,'الإيصالات'!$B$4:$B$2003,$B8))</f>
        <v/>
      </c>
      <c r="H8" s="38" t="n"/>
      <c r="I8" s="18">
        <f>IF($B8="","",N($F8)+N($G8)+N($H8))</f>
        <v/>
      </c>
      <c r="J8" s="18">
        <f>IF($B8="","",N($E8)-N($I8))</f>
        <v/>
      </c>
    </row>
    <row r="9">
      <c r="A9" s="16">
        <f>IF($B9="","",COUNTA($B$4:$B9))</f>
        <v/>
      </c>
      <c r="B9" s="72" t="n"/>
      <c r="C9" s="18">
        <f>IF($B9="","",N($J8))</f>
        <v/>
      </c>
      <c r="D9" s="40" t="n"/>
      <c r="E9" s="18">
        <f>IF($B9="","",N($C9)+N($D9))</f>
        <v/>
      </c>
      <c r="F9" s="18">
        <f>IF($B9="","",SUMIFS('العهد والرحلات'!$J$4:$J$2003,'العهد والرحلات'!$B$4:$B$2003,$B9))</f>
        <v/>
      </c>
      <c r="G9" s="18">
        <f>IF($B9="","",SUMIFS('الإيصالات'!$C$4:$C$2003,'الإيصالات'!$B$4:$B$2003,$B9))</f>
        <v/>
      </c>
      <c r="H9" s="40" t="n"/>
      <c r="I9" s="18">
        <f>IF($B9="","",N($F9)+N($G9)+N($H9))</f>
        <v/>
      </c>
      <c r="J9" s="18">
        <f>IF($B9="","",N($E9)-N($I9))</f>
        <v/>
      </c>
    </row>
    <row r="10">
      <c r="A10" s="16">
        <f>IF($B10="","",COUNTA($B$4:$B10))</f>
        <v/>
      </c>
      <c r="B10" s="71" t="n"/>
      <c r="C10" s="18">
        <f>IF($B10="","",N($J9))</f>
        <v/>
      </c>
      <c r="D10" s="38" t="n"/>
      <c r="E10" s="18">
        <f>IF($B10="","",N($C10)+N($D10))</f>
        <v/>
      </c>
      <c r="F10" s="18">
        <f>IF($B10="","",SUMIFS('العهد والرحلات'!$J$4:$J$2003,'العهد والرحلات'!$B$4:$B$2003,$B10))</f>
        <v/>
      </c>
      <c r="G10" s="18">
        <f>IF($B10="","",SUMIFS('الإيصالات'!$C$4:$C$2003,'الإيصالات'!$B$4:$B$2003,$B10))</f>
        <v/>
      </c>
      <c r="H10" s="38" t="n"/>
      <c r="I10" s="18">
        <f>IF($B10="","",N($F10)+N($G10)+N($H10))</f>
        <v/>
      </c>
      <c r="J10" s="18">
        <f>IF($B10="","",N($E10)-N($I10))</f>
        <v/>
      </c>
    </row>
    <row r="11">
      <c r="A11" s="16">
        <f>IF($B11="","",COUNTA($B$4:$B11))</f>
        <v/>
      </c>
      <c r="B11" s="72" t="n"/>
      <c r="C11" s="18">
        <f>IF($B11="","",N($J10))</f>
        <v/>
      </c>
      <c r="D11" s="40" t="n"/>
      <c r="E11" s="18">
        <f>IF($B11="","",N($C11)+N($D11))</f>
        <v/>
      </c>
      <c r="F11" s="18">
        <f>IF($B11="","",SUMIFS('العهد والرحلات'!$J$4:$J$2003,'العهد والرحلات'!$B$4:$B$2003,$B11))</f>
        <v/>
      </c>
      <c r="G11" s="18">
        <f>IF($B11="","",SUMIFS('الإيصالات'!$C$4:$C$2003,'الإيصالات'!$B$4:$B$2003,$B11))</f>
        <v/>
      </c>
      <c r="H11" s="40" t="n"/>
      <c r="I11" s="18">
        <f>IF($B11="","",N($F11)+N($G11)+N($H11))</f>
        <v/>
      </c>
      <c r="J11" s="18">
        <f>IF($B11="","",N($E11)-N($I11))</f>
        <v/>
      </c>
    </row>
    <row r="12">
      <c r="A12" s="16">
        <f>IF($B12="","",COUNTA($B$4:$B12))</f>
        <v/>
      </c>
      <c r="B12" s="71" t="n"/>
      <c r="C12" s="18">
        <f>IF($B12="","",N($J11))</f>
        <v/>
      </c>
      <c r="D12" s="38" t="n"/>
      <c r="E12" s="18">
        <f>IF($B12="","",N($C12)+N($D12))</f>
        <v/>
      </c>
      <c r="F12" s="18">
        <f>IF($B12="","",SUMIFS('العهد والرحلات'!$J$4:$J$2003,'العهد والرحلات'!$B$4:$B$2003,$B12))</f>
        <v/>
      </c>
      <c r="G12" s="18">
        <f>IF($B12="","",SUMIFS('الإيصالات'!$C$4:$C$2003,'الإيصالات'!$B$4:$B$2003,$B12))</f>
        <v/>
      </c>
      <c r="H12" s="38" t="n"/>
      <c r="I12" s="18">
        <f>IF($B12="","",N($F12)+N($G12)+N($H12))</f>
        <v/>
      </c>
      <c r="J12" s="18">
        <f>IF($B12="","",N($E12)-N($I12))</f>
        <v/>
      </c>
    </row>
    <row r="13">
      <c r="A13" s="16">
        <f>IF($B13="","",COUNTA($B$4:$B13))</f>
        <v/>
      </c>
      <c r="B13" s="72" t="n"/>
      <c r="C13" s="18">
        <f>IF($B13="","",N($J12))</f>
        <v/>
      </c>
      <c r="D13" s="40" t="n"/>
      <c r="E13" s="18">
        <f>IF($B13="","",N($C13)+N($D13))</f>
        <v/>
      </c>
      <c r="F13" s="18">
        <f>IF($B13="","",SUMIFS('العهد والرحلات'!$J$4:$J$2003,'العهد والرحلات'!$B$4:$B$2003,$B13))</f>
        <v/>
      </c>
      <c r="G13" s="18">
        <f>IF($B13="","",SUMIFS('الإيصالات'!$C$4:$C$2003,'الإيصالات'!$B$4:$B$2003,$B13))</f>
        <v/>
      </c>
      <c r="H13" s="40" t="n"/>
      <c r="I13" s="18">
        <f>IF($B13="","",N($F13)+N($G13)+N($H13))</f>
        <v/>
      </c>
      <c r="J13" s="18">
        <f>IF($B13="","",N($E13)-N($I13))</f>
        <v/>
      </c>
    </row>
    <row r="14">
      <c r="A14" s="16">
        <f>IF($B14="","",COUNTA($B$4:$B14))</f>
        <v/>
      </c>
      <c r="B14" s="71" t="n"/>
      <c r="C14" s="18">
        <f>IF($B14="","",N($J13))</f>
        <v/>
      </c>
      <c r="D14" s="38" t="n"/>
      <c r="E14" s="18">
        <f>IF($B14="","",N($C14)+N($D14))</f>
        <v/>
      </c>
      <c r="F14" s="18">
        <f>IF($B14="","",SUMIFS('العهد والرحلات'!$J$4:$J$2003,'العهد والرحلات'!$B$4:$B$2003,$B14))</f>
        <v/>
      </c>
      <c r="G14" s="18">
        <f>IF($B14="","",SUMIFS('الإيصالات'!$C$4:$C$2003,'الإيصالات'!$B$4:$B$2003,$B14))</f>
        <v/>
      </c>
      <c r="H14" s="38" t="n"/>
      <c r="I14" s="18">
        <f>IF($B14="","",N($F14)+N($G14)+N($H14))</f>
        <v/>
      </c>
      <c r="J14" s="18">
        <f>IF($B14="","",N($E14)-N($I14))</f>
        <v/>
      </c>
    </row>
    <row r="15">
      <c r="A15" s="16">
        <f>IF($B15="","",COUNTA($B$4:$B15))</f>
        <v/>
      </c>
      <c r="B15" s="72" t="n"/>
      <c r="C15" s="18">
        <f>IF($B15="","",N($J14))</f>
        <v/>
      </c>
      <c r="D15" s="40" t="n"/>
      <c r="E15" s="18">
        <f>IF($B15="","",N($C15)+N($D15))</f>
        <v/>
      </c>
      <c r="F15" s="18">
        <f>IF($B15="","",SUMIFS('العهد والرحلات'!$J$4:$J$2003,'العهد والرحلات'!$B$4:$B$2003,$B15))</f>
        <v/>
      </c>
      <c r="G15" s="18">
        <f>IF($B15="","",SUMIFS('الإيصالات'!$C$4:$C$2003,'الإيصالات'!$B$4:$B$2003,$B15))</f>
        <v/>
      </c>
      <c r="H15" s="40" t="n"/>
      <c r="I15" s="18">
        <f>IF($B15="","",N($F15)+N($G15)+N($H15))</f>
        <v/>
      </c>
      <c r="J15" s="18">
        <f>IF($B15="","",N($E15)-N($I15))</f>
        <v/>
      </c>
    </row>
    <row r="16">
      <c r="A16" s="16">
        <f>IF($B16="","",COUNTA($B$4:$B16))</f>
        <v/>
      </c>
      <c r="B16" s="71" t="n"/>
      <c r="C16" s="18">
        <f>IF($B16="","",N($J15))</f>
        <v/>
      </c>
      <c r="D16" s="38" t="n"/>
      <c r="E16" s="18">
        <f>IF($B16="","",N($C16)+N($D16))</f>
        <v/>
      </c>
      <c r="F16" s="18">
        <f>IF($B16="","",SUMIFS('العهد والرحلات'!$J$4:$J$2003,'العهد والرحلات'!$B$4:$B$2003,$B16))</f>
        <v/>
      </c>
      <c r="G16" s="18">
        <f>IF($B16="","",SUMIFS('الإيصالات'!$C$4:$C$2003,'الإيصالات'!$B$4:$B$2003,$B16))</f>
        <v/>
      </c>
      <c r="H16" s="38" t="n"/>
      <c r="I16" s="18">
        <f>IF($B16="","",N($F16)+N($G16)+N($H16))</f>
        <v/>
      </c>
      <c r="J16" s="18">
        <f>IF($B16="","",N($E16)-N($I16))</f>
        <v/>
      </c>
    </row>
    <row r="17">
      <c r="A17" s="16">
        <f>IF($B17="","",COUNTA($B$4:$B17))</f>
        <v/>
      </c>
      <c r="B17" s="72" t="n"/>
      <c r="C17" s="18">
        <f>IF($B17="","",N($J16))</f>
        <v/>
      </c>
      <c r="D17" s="40" t="n"/>
      <c r="E17" s="18">
        <f>IF($B17="","",N($C17)+N($D17))</f>
        <v/>
      </c>
      <c r="F17" s="18">
        <f>IF($B17="","",SUMIFS('العهد والرحلات'!$J$4:$J$2003,'العهد والرحلات'!$B$4:$B$2003,$B17))</f>
        <v/>
      </c>
      <c r="G17" s="18">
        <f>IF($B17="","",SUMIFS('الإيصالات'!$C$4:$C$2003,'الإيصالات'!$B$4:$B$2003,$B17))</f>
        <v/>
      </c>
      <c r="H17" s="40" t="n"/>
      <c r="I17" s="18">
        <f>IF($B17="","",N($F17)+N($G17)+N($H17))</f>
        <v/>
      </c>
      <c r="J17" s="18">
        <f>IF($B17="","",N($E17)-N($I17))</f>
        <v/>
      </c>
    </row>
    <row r="18">
      <c r="A18" s="16">
        <f>IF($B18="","",COUNTA($B$4:$B18))</f>
        <v/>
      </c>
      <c r="B18" s="71" t="n"/>
      <c r="C18" s="18">
        <f>IF($B18="","",N($J17))</f>
        <v/>
      </c>
      <c r="D18" s="38" t="n"/>
      <c r="E18" s="18">
        <f>IF($B18="","",N($C18)+N($D18))</f>
        <v/>
      </c>
      <c r="F18" s="18">
        <f>IF($B18="","",SUMIFS('العهد والرحلات'!$J$4:$J$2003,'العهد والرحلات'!$B$4:$B$2003,$B18))</f>
        <v/>
      </c>
      <c r="G18" s="18">
        <f>IF($B18="","",SUMIFS('الإيصالات'!$C$4:$C$2003,'الإيصالات'!$B$4:$B$2003,$B18))</f>
        <v/>
      </c>
      <c r="H18" s="38" t="n"/>
      <c r="I18" s="18">
        <f>IF($B18="","",N($F18)+N($G18)+N($H18))</f>
        <v/>
      </c>
      <c r="J18" s="18">
        <f>IF($B18="","",N($E18)-N($I18))</f>
        <v/>
      </c>
    </row>
    <row r="19">
      <c r="A19" s="16">
        <f>IF($B19="","",COUNTA($B$4:$B19))</f>
        <v/>
      </c>
      <c r="B19" s="72" t="n"/>
      <c r="C19" s="18">
        <f>IF($B19="","",N($J18))</f>
        <v/>
      </c>
      <c r="D19" s="40" t="n"/>
      <c r="E19" s="18">
        <f>IF($B19="","",N($C19)+N($D19))</f>
        <v/>
      </c>
      <c r="F19" s="18">
        <f>IF($B19="","",SUMIFS('العهد والرحلات'!$J$4:$J$2003,'العهد والرحلات'!$B$4:$B$2003,$B19))</f>
        <v/>
      </c>
      <c r="G19" s="18">
        <f>IF($B19="","",SUMIFS('الإيصالات'!$C$4:$C$2003,'الإيصالات'!$B$4:$B$2003,$B19))</f>
        <v/>
      </c>
      <c r="H19" s="40" t="n"/>
      <c r="I19" s="18">
        <f>IF($B19="","",N($F19)+N($G19)+N($H19))</f>
        <v/>
      </c>
      <c r="J19" s="18">
        <f>IF($B19="","",N($E19)-N($I19))</f>
        <v/>
      </c>
    </row>
    <row r="20">
      <c r="A20" s="16">
        <f>IF($B20="","",COUNTA($B$4:$B20))</f>
        <v/>
      </c>
      <c r="B20" s="71" t="n"/>
      <c r="C20" s="18">
        <f>IF($B20="","",N($J19))</f>
        <v/>
      </c>
      <c r="D20" s="38" t="n"/>
      <c r="E20" s="18">
        <f>IF($B20="","",N($C20)+N($D20))</f>
        <v/>
      </c>
      <c r="F20" s="18">
        <f>IF($B20="","",SUMIFS('العهد والرحلات'!$J$4:$J$2003,'العهد والرحلات'!$B$4:$B$2003,$B20))</f>
        <v/>
      </c>
      <c r="G20" s="18">
        <f>IF($B20="","",SUMIFS('الإيصالات'!$C$4:$C$2003,'الإيصالات'!$B$4:$B$2003,$B20))</f>
        <v/>
      </c>
      <c r="H20" s="38" t="n"/>
      <c r="I20" s="18">
        <f>IF($B20="","",N($F20)+N($G20)+N($H20))</f>
        <v/>
      </c>
      <c r="J20" s="18">
        <f>IF($B20="","",N($E20)-N($I20))</f>
        <v/>
      </c>
    </row>
    <row r="21">
      <c r="A21" s="16">
        <f>IF($B21="","",COUNTA($B$4:$B21))</f>
        <v/>
      </c>
      <c r="B21" s="72" t="n"/>
      <c r="C21" s="18">
        <f>IF($B21="","",N($J20))</f>
        <v/>
      </c>
      <c r="D21" s="40" t="n"/>
      <c r="E21" s="18">
        <f>IF($B21="","",N($C21)+N($D21))</f>
        <v/>
      </c>
      <c r="F21" s="18">
        <f>IF($B21="","",SUMIFS('العهد والرحلات'!$J$4:$J$2003,'العهد والرحلات'!$B$4:$B$2003,$B21))</f>
        <v/>
      </c>
      <c r="G21" s="18">
        <f>IF($B21="","",SUMIFS('الإيصالات'!$C$4:$C$2003,'الإيصالات'!$B$4:$B$2003,$B21))</f>
        <v/>
      </c>
      <c r="H21" s="40" t="n"/>
      <c r="I21" s="18">
        <f>IF($B21="","",N($F21)+N($G21)+N($H21))</f>
        <v/>
      </c>
      <c r="J21" s="18">
        <f>IF($B21="","",N($E21)-N($I21))</f>
        <v/>
      </c>
    </row>
    <row r="22">
      <c r="A22" s="16">
        <f>IF($B22="","",COUNTA($B$4:$B22))</f>
        <v/>
      </c>
      <c r="B22" s="71" t="n"/>
      <c r="C22" s="18">
        <f>IF($B22="","",N($J21))</f>
        <v/>
      </c>
      <c r="D22" s="38" t="n"/>
      <c r="E22" s="18">
        <f>IF($B22="","",N($C22)+N($D22))</f>
        <v/>
      </c>
      <c r="F22" s="18">
        <f>IF($B22="","",SUMIFS('العهد والرحلات'!$J$4:$J$2003,'العهد والرحلات'!$B$4:$B$2003,$B22))</f>
        <v/>
      </c>
      <c r="G22" s="18">
        <f>IF($B22="","",SUMIFS('الإيصالات'!$C$4:$C$2003,'الإيصالات'!$B$4:$B$2003,$B22))</f>
        <v/>
      </c>
      <c r="H22" s="38" t="n"/>
      <c r="I22" s="18">
        <f>IF($B22="","",N($F22)+N($G22)+N($H22))</f>
        <v/>
      </c>
      <c r="J22" s="18">
        <f>IF($B22="","",N($E22)-N($I22))</f>
        <v/>
      </c>
    </row>
    <row r="23">
      <c r="A23" s="16">
        <f>IF($B23="","",COUNTA($B$4:$B23))</f>
        <v/>
      </c>
      <c r="B23" s="72" t="n"/>
      <c r="C23" s="18">
        <f>IF($B23="","",N($J22))</f>
        <v/>
      </c>
      <c r="D23" s="40" t="n"/>
      <c r="E23" s="18">
        <f>IF($B23="","",N($C23)+N($D23))</f>
        <v/>
      </c>
      <c r="F23" s="18">
        <f>IF($B23="","",SUMIFS('العهد والرحلات'!$J$4:$J$2003,'العهد والرحلات'!$B$4:$B$2003,$B23))</f>
        <v/>
      </c>
      <c r="G23" s="18">
        <f>IF($B23="","",SUMIFS('الإيصالات'!$C$4:$C$2003,'الإيصالات'!$B$4:$B$2003,$B23))</f>
        <v/>
      </c>
      <c r="H23" s="40" t="n"/>
      <c r="I23" s="18">
        <f>IF($B23="","",N($F23)+N($G23)+N($H23))</f>
        <v/>
      </c>
      <c r="J23" s="18">
        <f>IF($B23="","",N($E23)-N($I23))</f>
        <v/>
      </c>
    </row>
    <row r="24">
      <c r="A24" s="16">
        <f>IF($B24="","",COUNTA($B$4:$B24))</f>
        <v/>
      </c>
      <c r="B24" s="71" t="n"/>
      <c r="C24" s="18">
        <f>IF($B24="","",N($J23))</f>
        <v/>
      </c>
      <c r="D24" s="38" t="n"/>
      <c r="E24" s="18">
        <f>IF($B24="","",N($C24)+N($D24))</f>
        <v/>
      </c>
      <c r="F24" s="18">
        <f>IF($B24="","",SUMIFS('العهد والرحلات'!$J$4:$J$2003,'العهد والرحلات'!$B$4:$B$2003,$B24))</f>
        <v/>
      </c>
      <c r="G24" s="18">
        <f>IF($B24="","",SUMIFS('الإيصالات'!$C$4:$C$2003,'الإيصالات'!$B$4:$B$2003,$B24))</f>
        <v/>
      </c>
      <c r="H24" s="38" t="n"/>
      <c r="I24" s="18">
        <f>IF($B24="","",N($F24)+N($G24)+N($H24))</f>
        <v/>
      </c>
      <c r="J24" s="18">
        <f>IF($B24="","",N($E24)-N($I24))</f>
        <v/>
      </c>
    </row>
    <row r="25">
      <c r="A25" s="16">
        <f>IF($B25="","",COUNTA($B$4:$B25))</f>
        <v/>
      </c>
      <c r="B25" s="72" t="n"/>
      <c r="C25" s="18">
        <f>IF($B25="","",N($J24))</f>
        <v/>
      </c>
      <c r="D25" s="40" t="n"/>
      <c r="E25" s="18">
        <f>IF($B25="","",N($C25)+N($D25))</f>
        <v/>
      </c>
      <c r="F25" s="18">
        <f>IF($B25="","",SUMIFS('العهد والرحلات'!$J$4:$J$2003,'العهد والرحلات'!$B$4:$B$2003,$B25))</f>
        <v/>
      </c>
      <c r="G25" s="18">
        <f>IF($B25="","",SUMIFS('الإيصالات'!$C$4:$C$2003,'الإيصالات'!$B$4:$B$2003,$B25))</f>
        <v/>
      </c>
      <c r="H25" s="40" t="n"/>
      <c r="I25" s="18">
        <f>IF($B25="","",N($F25)+N($G25)+N($H25))</f>
        <v/>
      </c>
      <c r="J25" s="18">
        <f>IF($B25="","",N($E25)-N($I25))</f>
        <v/>
      </c>
    </row>
    <row r="26">
      <c r="A26" s="16">
        <f>IF($B26="","",COUNTA($B$4:$B26))</f>
        <v/>
      </c>
      <c r="B26" s="71" t="n"/>
      <c r="C26" s="18">
        <f>IF($B26="","",N($J25))</f>
        <v/>
      </c>
      <c r="D26" s="38" t="n"/>
      <c r="E26" s="18">
        <f>IF($B26="","",N($C26)+N($D26))</f>
        <v/>
      </c>
      <c r="F26" s="18">
        <f>IF($B26="","",SUMIFS('العهد والرحلات'!$J$4:$J$2003,'العهد والرحلات'!$B$4:$B$2003,$B26))</f>
        <v/>
      </c>
      <c r="G26" s="18">
        <f>IF($B26="","",SUMIFS('الإيصالات'!$C$4:$C$2003,'الإيصالات'!$B$4:$B$2003,$B26))</f>
        <v/>
      </c>
      <c r="H26" s="38" t="n"/>
      <c r="I26" s="18">
        <f>IF($B26="","",N($F26)+N($G26)+N($H26))</f>
        <v/>
      </c>
      <c r="J26" s="18">
        <f>IF($B26="","",N($E26)-N($I26))</f>
        <v/>
      </c>
    </row>
    <row r="27">
      <c r="A27" s="16">
        <f>IF($B27="","",COUNTA($B$4:$B27))</f>
        <v/>
      </c>
      <c r="B27" s="72" t="n"/>
      <c r="C27" s="18">
        <f>IF($B27="","",N($J26))</f>
        <v/>
      </c>
      <c r="D27" s="40" t="n"/>
      <c r="E27" s="18">
        <f>IF($B27="","",N($C27)+N($D27))</f>
        <v/>
      </c>
      <c r="F27" s="18">
        <f>IF($B27="","",SUMIFS('العهد والرحلات'!$J$4:$J$2003,'العهد والرحلات'!$B$4:$B$2003,$B27))</f>
        <v/>
      </c>
      <c r="G27" s="18">
        <f>IF($B27="","",SUMIFS('الإيصالات'!$C$4:$C$2003,'الإيصالات'!$B$4:$B$2003,$B27))</f>
        <v/>
      </c>
      <c r="H27" s="40" t="n"/>
      <c r="I27" s="18">
        <f>IF($B27="","",N($F27)+N($G27)+N($H27))</f>
        <v/>
      </c>
      <c r="J27" s="18">
        <f>IF($B27="","",N($E27)-N($I27))</f>
        <v/>
      </c>
    </row>
    <row r="28">
      <c r="A28" s="16">
        <f>IF($B28="","",COUNTA($B$4:$B28))</f>
        <v/>
      </c>
      <c r="B28" s="71" t="n"/>
      <c r="C28" s="18">
        <f>IF($B28="","",N($J27))</f>
        <v/>
      </c>
      <c r="D28" s="38" t="n"/>
      <c r="E28" s="18">
        <f>IF($B28="","",N($C28)+N($D28))</f>
        <v/>
      </c>
      <c r="F28" s="18">
        <f>IF($B28="","",SUMIFS('العهد والرحلات'!$J$4:$J$2003,'العهد والرحلات'!$B$4:$B$2003,$B28))</f>
        <v/>
      </c>
      <c r="G28" s="18">
        <f>IF($B28="","",SUMIFS('الإيصالات'!$C$4:$C$2003,'الإيصالات'!$B$4:$B$2003,$B28))</f>
        <v/>
      </c>
      <c r="H28" s="38" t="n"/>
      <c r="I28" s="18">
        <f>IF($B28="","",N($F28)+N($G28)+N($H28))</f>
        <v/>
      </c>
      <c r="J28" s="18">
        <f>IF($B28="","",N($E28)-N($I28))</f>
        <v/>
      </c>
    </row>
    <row r="29">
      <c r="A29" s="16">
        <f>IF($B29="","",COUNTA($B$4:$B29))</f>
        <v/>
      </c>
      <c r="B29" s="72" t="n"/>
      <c r="C29" s="18">
        <f>IF($B29="","",N($J28))</f>
        <v/>
      </c>
      <c r="D29" s="40" t="n"/>
      <c r="E29" s="18">
        <f>IF($B29="","",N($C29)+N($D29))</f>
        <v/>
      </c>
      <c r="F29" s="18">
        <f>IF($B29="","",SUMIFS('العهد والرحلات'!$J$4:$J$2003,'العهد والرحلات'!$B$4:$B$2003,$B29))</f>
        <v/>
      </c>
      <c r="G29" s="18">
        <f>IF($B29="","",SUMIFS('الإيصالات'!$C$4:$C$2003,'الإيصالات'!$B$4:$B$2003,$B29))</f>
        <v/>
      </c>
      <c r="H29" s="40" t="n"/>
      <c r="I29" s="18">
        <f>IF($B29="","",N($F29)+N($G29)+N($H29))</f>
        <v/>
      </c>
      <c r="J29" s="18">
        <f>IF($B29="","",N($E29)-N($I29))</f>
        <v/>
      </c>
    </row>
    <row r="30">
      <c r="A30" s="16">
        <f>IF($B30="","",COUNTA($B$4:$B30))</f>
        <v/>
      </c>
      <c r="B30" s="71" t="n"/>
      <c r="C30" s="18">
        <f>IF($B30="","",N($J29))</f>
        <v/>
      </c>
      <c r="D30" s="38" t="n"/>
      <c r="E30" s="18">
        <f>IF($B30="","",N($C30)+N($D30))</f>
        <v/>
      </c>
      <c r="F30" s="18">
        <f>IF($B30="","",SUMIFS('العهد والرحلات'!$J$4:$J$2003,'العهد والرحلات'!$B$4:$B$2003,$B30))</f>
        <v/>
      </c>
      <c r="G30" s="18">
        <f>IF($B30="","",SUMIFS('الإيصالات'!$C$4:$C$2003,'الإيصالات'!$B$4:$B$2003,$B30))</f>
        <v/>
      </c>
      <c r="H30" s="38" t="n"/>
      <c r="I30" s="18">
        <f>IF($B30="","",N($F30)+N($G30)+N($H30))</f>
        <v/>
      </c>
      <c r="J30" s="18">
        <f>IF($B30="","",N($E30)-N($I30))</f>
        <v/>
      </c>
    </row>
    <row r="31">
      <c r="A31" s="16">
        <f>IF($B31="","",COUNTA($B$4:$B31))</f>
        <v/>
      </c>
      <c r="B31" s="72" t="n"/>
      <c r="C31" s="18">
        <f>IF($B31="","",N($J30))</f>
        <v/>
      </c>
      <c r="D31" s="40" t="n"/>
      <c r="E31" s="18">
        <f>IF($B31="","",N($C31)+N($D31))</f>
        <v/>
      </c>
      <c r="F31" s="18">
        <f>IF($B31="","",SUMIFS('العهد والرحلات'!$J$4:$J$2003,'العهد والرحلات'!$B$4:$B$2003,$B31))</f>
        <v/>
      </c>
      <c r="G31" s="18">
        <f>IF($B31="","",SUMIFS('الإيصالات'!$C$4:$C$2003,'الإيصالات'!$B$4:$B$2003,$B31))</f>
        <v/>
      </c>
      <c r="H31" s="40" t="n"/>
      <c r="I31" s="18">
        <f>IF($B31="","",N($F31)+N($G31)+N($H31))</f>
        <v/>
      </c>
      <c r="J31" s="18">
        <f>IF($B31="","",N($E31)-N($I31))</f>
        <v/>
      </c>
    </row>
    <row r="32">
      <c r="A32" s="16">
        <f>IF($B32="","",COUNTA($B$4:$B32))</f>
        <v/>
      </c>
      <c r="B32" s="71" t="n"/>
      <c r="C32" s="18">
        <f>IF($B32="","",N($J31))</f>
        <v/>
      </c>
      <c r="D32" s="38" t="n"/>
      <c r="E32" s="18">
        <f>IF($B32="","",N($C32)+N($D32))</f>
        <v/>
      </c>
      <c r="F32" s="18">
        <f>IF($B32="","",SUMIFS('العهد والرحلات'!$J$4:$J$2003,'العهد والرحلات'!$B$4:$B$2003,$B32))</f>
        <v/>
      </c>
      <c r="G32" s="18">
        <f>IF($B32="","",SUMIFS('الإيصالات'!$C$4:$C$2003,'الإيصالات'!$B$4:$B$2003,$B32))</f>
        <v/>
      </c>
      <c r="H32" s="38" t="n"/>
      <c r="I32" s="18">
        <f>IF($B32="","",N($F32)+N($G32)+N($H32))</f>
        <v/>
      </c>
      <c r="J32" s="18">
        <f>IF($B32="","",N($E32)-N($I32))</f>
        <v/>
      </c>
    </row>
    <row r="33">
      <c r="A33" s="16">
        <f>IF($B33="","",COUNTA($B$4:$B33))</f>
        <v/>
      </c>
      <c r="B33" s="72" t="n"/>
      <c r="C33" s="18">
        <f>IF($B33="","",N($J32))</f>
        <v/>
      </c>
      <c r="D33" s="40" t="n"/>
      <c r="E33" s="18">
        <f>IF($B33="","",N($C33)+N($D33))</f>
        <v/>
      </c>
      <c r="F33" s="18">
        <f>IF($B33="","",SUMIFS('العهد والرحلات'!$J$4:$J$2003,'العهد والرحلات'!$B$4:$B$2003,$B33))</f>
        <v/>
      </c>
      <c r="G33" s="18">
        <f>IF($B33="","",SUMIFS('الإيصالات'!$C$4:$C$2003,'الإيصالات'!$B$4:$B$2003,$B33))</f>
        <v/>
      </c>
      <c r="H33" s="40" t="n"/>
      <c r="I33" s="18">
        <f>IF($B33="","",N($F33)+N($G33)+N($H33))</f>
        <v/>
      </c>
      <c r="J33" s="18">
        <f>IF($B33="","",N($E33)-N($I33))</f>
        <v/>
      </c>
    </row>
    <row r="34">
      <c r="A34" s="16">
        <f>IF($B34="","",COUNTA($B$4:$B34))</f>
        <v/>
      </c>
      <c r="B34" s="71" t="n"/>
      <c r="C34" s="18">
        <f>IF($B34="","",N($J33))</f>
        <v/>
      </c>
      <c r="D34" s="38" t="n"/>
      <c r="E34" s="18">
        <f>IF($B34="","",N($C34)+N($D34))</f>
        <v/>
      </c>
      <c r="F34" s="18">
        <f>IF($B34="","",SUMIFS('العهد والرحلات'!$J$4:$J$2003,'العهد والرحلات'!$B$4:$B$2003,$B34))</f>
        <v/>
      </c>
      <c r="G34" s="18">
        <f>IF($B34="","",SUMIFS('الإيصالات'!$C$4:$C$2003,'الإيصالات'!$B$4:$B$2003,$B34))</f>
        <v/>
      </c>
      <c r="H34" s="38" t="n"/>
      <c r="I34" s="18">
        <f>IF($B34="","",N($F34)+N($G34)+N($H34))</f>
        <v/>
      </c>
      <c r="J34" s="18">
        <f>IF($B34="","",N($E34)-N($I34))</f>
        <v/>
      </c>
    </row>
    <row r="35">
      <c r="A35" s="16">
        <f>IF($B35="","",COUNTA($B$4:$B35))</f>
        <v/>
      </c>
      <c r="B35" s="72" t="n"/>
      <c r="C35" s="18">
        <f>IF($B35="","",N($J34))</f>
        <v/>
      </c>
      <c r="D35" s="40" t="n"/>
      <c r="E35" s="18">
        <f>IF($B35="","",N($C35)+N($D35))</f>
        <v/>
      </c>
      <c r="F35" s="18">
        <f>IF($B35="","",SUMIFS('العهد والرحلات'!$J$4:$J$2003,'العهد والرحلات'!$B$4:$B$2003,$B35))</f>
        <v/>
      </c>
      <c r="G35" s="18">
        <f>IF($B35="","",SUMIFS('الإيصالات'!$C$4:$C$2003,'الإيصالات'!$B$4:$B$2003,$B35))</f>
        <v/>
      </c>
      <c r="H35" s="40" t="n"/>
      <c r="I35" s="18">
        <f>IF($B35="","",N($F35)+N($G35)+N($H35))</f>
        <v/>
      </c>
      <c r="J35" s="18">
        <f>IF($B35="","",N($E35)-N($I35))</f>
        <v/>
      </c>
    </row>
    <row r="36">
      <c r="A36" s="16">
        <f>IF($B36="","",COUNTA($B$4:$B36))</f>
        <v/>
      </c>
      <c r="B36" s="71" t="n"/>
      <c r="C36" s="18">
        <f>IF($B36="","",N($J35))</f>
        <v/>
      </c>
      <c r="D36" s="38" t="n"/>
      <c r="E36" s="18">
        <f>IF($B36="","",N($C36)+N($D36))</f>
        <v/>
      </c>
      <c r="F36" s="18">
        <f>IF($B36="","",SUMIFS('العهد والرحلات'!$J$4:$J$2003,'العهد والرحلات'!$B$4:$B$2003,$B36))</f>
        <v/>
      </c>
      <c r="G36" s="18">
        <f>IF($B36="","",SUMIFS('الإيصالات'!$C$4:$C$2003,'الإيصالات'!$B$4:$B$2003,$B36))</f>
        <v/>
      </c>
      <c r="H36" s="38" t="n"/>
      <c r="I36" s="18">
        <f>IF($B36="","",N($F36)+N($G36)+N($H36))</f>
        <v/>
      </c>
      <c r="J36" s="18">
        <f>IF($B36="","",N($E36)-N($I36))</f>
        <v/>
      </c>
    </row>
    <row r="37">
      <c r="A37" s="16">
        <f>IF($B37="","",COUNTA($B$4:$B37))</f>
        <v/>
      </c>
      <c r="B37" s="72" t="n"/>
      <c r="C37" s="18">
        <f>IF($B37="","",N($J36))</f>
        <v/>
      </c>
      <c r="D37" s="40" t="n"/>
      <c r="E37" s="18">
        <f>IF($B37="","",N($C37)+N($D37))</f>
        <v/>
      </c>
      <c r="F37" s="18">
        <f>IF($B37="","",SUMIFS('العهد والرحلات'!$J$4:$J$2003,'العهد والرحلات'!$B$4:$B$2003,$B37))</f>
        <v/>
      </c>
      <c r="G37" s="18">
        <f>IF($B37="","",SUMIFS('الإيصالات'!$C$4:$C$2003,'الإيصالات'!$B$4:$B$2003,$B37))</f>
        <v/>
      </c>
      <c r="H37" s="40" t="n"/>
      <c r="I37" s="18">
        <f>IF($B37="","",N($F37)+N($G37)+N($H37))</f>
        <v/>
      </c>
      <c r="J37" s="18">
        <f>IF($B37="","",N($E37)-N($I37))</f>
        <v/>
      </c>
    </row>
    <row r="38">
      <c r="A38" s="16">
        <f>IF($B38="","",COUNTA($B$4:$B38))</f>
        <v/>
      </c>
      <c r="B38" s="71" t="n"/>
      <c r="C38" s="18">
        <f>IF($B38="","",N($J37))</f>
        <v/>
      </c>
      <c r="D38" s="38" t="n"/>
      <c r="E38" s="18">
        <f>IF($B38="","",N($C38)+N($D38))</f>
        <v/>
      </c>
      <c r="F38" s="18">
        <f>IF($B38="","",SUMIFS('العهد والرحلات'!$J$4:$J$2003,'العهد والرحلات'!$B$4:$B$2003,$B38))</f>
        <v/>
      </c>
      <c r="G38" s="18">
        <f>IF($B38="","",SUMIFS('الإيصالات'!$C$4:$C$2003,'الإيصالات'!$B$4:$B$2003,$B38))</f>
        <v/>
      </c>
      <c r="H38" s="38" t="n"/>
      <c r="I38" s="18">
        <f>IF($B38="","",N($F38)+N($G38)+N($H38))</f>
        <v/>
      </c>
      <c r="J38" s="18">
        <f>IF($B38="","",N($E38)-N($I38))</f>
        <v/>
      </c>
    </row>
    <row r="39">
      <c r="A39" s="16">
        <f>IF($B39="","",COUNTA($B$4:$B39))</f>
        <v/>
      </c>
      <c r="B39" s="72" t="n"/>
      <c r="C39" s="18">
        <f>IF($B39="","",N($J38))</f>
        <v/>
      </c>
      <c r="D39" s="40" t="n"/>
      <c r="E39" s="18">
        <f>IF($B39="","",N($C39)+N($D39))</f>
        <v/>
      </c>
      <c r="F39" s="18">
        <f>IF($B39="","",SUMIFS('العهد والرحلات'!$J$4:$J$2003,'العهد والرحلات'!$B$4:$B$2003,$B39))</f>
        <v/>
      </c>
      <c r="G39" s="18">
        <f>IF($B39="","",SUMIFS('الإيصالات'!$C$4:$C$2003,'الإيصالات'!$B$4:$B$2003,$B39))</f>
        <v/>
      </c>
      <c r="H39" s="40" t="n"/>
      <c r="I39" s="18">
        <f>IF($B39="","",N($F39)+N($G39)+N($H39))</f>
        <v/>
      </c>
      <c r="J39" s="18">
        <f>IF($B39="","",N($E39)-N($I39))</f>
        <v/>
      </c>
    </row>
    <row r="40">
      <c r="A40" s="16">
        <f>IF($B40="","",COUNTA($B$4:$B40))</f>
        <v/>
      </c>
      <c r="B40" s="71" t="n"/>
      <c r="C40" s="18">
        <f>IF($B40="","",N($J39))</f>
        <v/>
      </c>
      <c r="D40" s="38" t="n"/>
      <c r="E40" s="18">
        <f>IF($B40="","",N($C40)+N($D40))</f>
        <v/>
      </c>
      <c r="F40" s="18">
        <f>IF($B40="","",SUMIFS('العهد والرحلات'!$J$4:$J$2003,'العهد والرحلات'!$B$4:$B$2003,$B40))</f>
        <v/>
      </c>
      <c r="G40" s="18">
        <f>IF($B40="","",SUMIFS('الإيصالات'!$C$4:$C$2003,'الإيصالات'!$B$4:$B$2003,$B40))</f>
        <v/>
      </c>
      <c r="H40" s="38" t="n"/>
      <c r="I40" s="18">
        <f>IF($B40="","",N($F40)+N($G40)+N($H40))</f>
        <v/>
      </c>
      <c r="J40" s="18">
        <f>IF($B40="","",N($E40)-N($I40))</f>
        <v/>
      </c>
    </row>
    <row r="41">
      <c r="A41" s="16">
        <f>IF($B41="","",COUNTA($B$4:$B41))</f>
        <v/>
      </c>
      <c r="B41" s="72" t="n"/>
      <c r="C41" s="18">
        <f>IF($B41="","",N($J40))</f>
        <v/>
      </c>
      <c r="D41" s="40" t="n"/>
      <c r="E41" s="18">
        <f>IF($B41="","",N($C41)+N($D41))</f>
        <v/>
      </c>
      <c r="F41" s="18">
        <f>IF($B41="","",SUMIFS('العهد والرحلات'!$J$4:$J$2003,'العهد والرحلات'!$B$4:$B$2003,$B41))</f>
        <v/>
      </c>
      <c r="G41" s="18">
        <f>IF($B41="","",SUMIFS('الإيصالات'!$C$4:$C$2003,'الإيصالات'!$B$4:$B$2003,$B41))</f>
        <v/>
      </c>
      <c r="H41" s="40" t="n"/>
      <c r="I41" s="18">
        <f>IF($B41="","",N($F41)+N($G41)+N($H41))</f>
        <v/>
      </c>
      <c r="J41" s="18">
        <f>IF($B41="","",N($E41)-N($I41))</f>
        <v/>
      </c>
    </row>
    <row r="42">
      <c r="A42" s="16">
        <f>IF($B42="","",COUNTA($B$4:$B42))</f>
        <v/>
      </c>
      <c r="B42" s="71" t="n"/>
      <c r="C42" s="18">
        <f>IF($B42="","",N($J41))</f>
        <v/>
      </c>
      <c r="D42" s="38" t="n"/>
      <c r="E42" s="18">
        <f>IF($B42="","",N($C42)+N($D42))</f>
        <v/>
      </c>
      <c r="F42" s="18">
        <f>IF($B42="","",SUMIFS('العهد والرحلات'!$J$4:$J$2003,'العهد والرحلات'!$B$4:$B$2003,$B42))</f>
        <v/>
      </c>
      <c r="G42" s="18">
        <f>IF($B42="","",SUMIFS('الإيصالات'!$C$4:$C$2003,'الإيصالات'!$B$4:$B$2003,$B42))</f>
        <v/>
      </c>
      <c r="H42" s="38" t="n"/>
      <c r="I42" s="18">
        <f>IF($B42="","",N($F42)+N($G42)+N($H42))</f>
        <v/>
      </c>
      <c r="J42" s="18">
        <f>IF($B42="","",N($E42)-N($I42))</f>
        <v/>
      </c>
    </row>
    <row r="43">
      <c r="A43" s="16">
        <f>IF($B43="","",COUNTA($B$4:$B43))</f>
        <v/>
      </c>
      <c r="B43" s="72" t="n"/>
      <c r="C43" s="18">
        <f>IF($B43="","",N($J42))</f>
        <v/>
      </c>
      <c r="D43" s="40" t="n"/>
      <c r="E43" s="18">
        <f>IF($B43="","",N($C43)+N($D43))</f>
        <v/>
      </c>
      <c r="F43" s="18">
        <f>IF($B43="","",SUMIFS('العهد والرحلات'!$J$4:$J$2003,'العهد والرحلات'!$B$4:$B$2003,$B43))</f>
        <v/>
      </c>
      <c r="G43" s="18">
        <f>IF($B43="","",SUMIFS('الإيصالات'!$C$4:$C$2003,'الإيصالات'!$B$4:$B$2003,$B43))</f>
        <v/>
      </c>
      <c r="H43" s="40" t="n"/>
      <c r="I43" s="18">
        <f>IF($B43="","",N($F43)+N($G43)+N($H43))</f>
        <v/>
      </c>
      <c r="J43" s="18">
        <f>IF($B43="","",N($E43)-N($I43))</f>
        <v/>
      </c>
    </row>
    <row r="44">
      <c r="A44" s="16">
        <f>IF($B44="","",COUNTA($B$4:$B44))</f>
        <v/>
      </c>
      <c r="B44" s="71" t="n"/>
      <c r="C44" s="18">
        <f>IF($B44="","",N($J43))</f>
        <v/>
      </c>
      <c r="D44" s="38" t="n"/>
      <c r="E44" s="18">
        <f>IF($B44="","",N($C44)+N($D44))</f>
        <v/>
      </c>
      <c r="F44" s="18">
        <f>IF($B44="","",SUMIFS('العهد والرحلات'!$J$4:$J$2003,'العهد والرحلات'!$B$4:$B$2003,$B44))</f>
        <v/>
      </c>
      <c r="G44" s="18">
        <f>IF($B44="","",SUMIFS('الإيصالات'!$C$4:$C$2003,'الإيصالات'!$B$4:$B$2003,$B44))</f>
        <v/>
      </c>
      <c r="H44" s="38" t="n"/>
      <c r="I44" s="18">
        <f>IF($B44="","",N($F44)+N($G44)+N($H44))</f>
        <v/>
      </c>
      <c r="J44" s="18">
        <f>IF($B44="","",N($E44)-N($I44))</f>
        <v/>
      </c>
    </row>
    <row r="45">
      <c r="A45" s="16">
        <f>IF($B45="","",COUNTA($B$4:$B45))</f>
        <v/>
      </c>
      <c r="B45" s="72" t="n"/>
      <c r="C45" s="18">
        <f>IF($B45="","",N($J44))</f>
        <v/>
      </c>
      <c r="D45" s="40" t="n"/>
      <c r="E45" s="18">
        <f>IF($B45="","",N($C45)+N($D45))</f>
        <v/>
      </c>
      <c r="F45" s="18">
        <f>IF($B45="","",SUMIFS('العهد والرحلات'!$J$4:$J$2003,'العهد والرحلات'!$B$4:$B$2003,$B45))</f>
        <v/>
      </c>
      <c r="G45" s="18">
        <f>IF($B45="","",SUMIFS('الإيصالات'!$C$4:$C$2003,'الإيصالات'!$B$4:$B$2003,$B45))</f>
        <v/>
      </c>
      <c r="H45" s="40" t="n"/>
      <c r="I45" s="18">
        <f>IF($B45="","",N($F45)+N($G45)+N($H45))</f>
        <v/>
      </c>
      <c r="J45" s="18">
        <f>IF($B45="","",N($E45)-N($I45))</f>
        <v/>
      </c>
    </row>
    <row r="46">
      <c r="A46" s="16">
        <f>IF($B46="","",COUNTA($B$4:$B46))</f>
        <v/>
      </c>
      <c r="B46" s="71" t="n"/>
      <c r="C46" s="18">
        <f>IF($B46="","",N($J45))</f>
        <v/>
      </c>
      <c r="D46" s="38" t="n"/>
      <c r="E46" s="18">
        <f>IF($B46="","",N($C46)+N($D46))</f>
        <v/>
      </c>
      <c r="F46" s="18">
        <f>IF($B46="","",SUMIFS('العهد والرحلات'!$J$4:$J$2003,'العهد والرحلات'!$B$4:$B$2003,$B46))</f>
        <v/>
      </c>
      <c r="G46" s="18">
        <f>IF($B46="","",SUMIFS('الإيصالات'!$C$4:$C$2003,'الإيصالات'!$B$4:$B$2003,$B46))</f>
        <v/>
      </c>
      <c r="H46" s="38" t="n"/>
      <c r="I46" s="18">
        <f>IF($B46="","",N($F46)+N($G46)+N($H46))</f>
        <v/>
      </c>
      <c r="J46" s="18">
        <f>IF($B46="","",N($E46)-N($I46))</f>
        <v/>
      </c>
    </row>
    <row r="47">
      <c r="A47" s="16">
        <f>IF($B47="","",COUNTA($B$4:$B47))</f>
        <v/>
      </c>
      <c r="B47" s="72" t="n"/>
      <c r="C47" s="18">
        <f>IF($B47="","",N($J46))</f>
        <v/>
      </c>
      <c r="D47" s="40" t="n"/>
      <c r="E47" s="18">
        <f>IF($B47="","",N($C47)+N($D47))</f>
        <v/>
      </c>
      <c r="F47" s="18">
        <f>IF($B47="","",SUMIFS('العهد والرحلات'!$J$4:$J$2003,'العهد والرحلات'!$B$4:$B$2003,$B47))</f>
        <v/>
      </c>
      <c r="G47" s="18">
        <f>IF($B47="","",SUMIFS('الإيصالات'!$C$4:$C$2003,'الإيصالات'!$B$4:$B$2003,$B47))</f>
        <v/>
      </c>
      <c r="H47" s="40" t="n"/>
      <c r="I47" s="18">
        <f>IF($B47="","",N($F47)+N($G47)+N($H47))</f>
        <v/>
      </c>
      <c r="J47" s="18">
        <f>IF($B47="","",N($E47)-N($I47))</f>
        <v/>
      </c>
    </row>
    <row r="48">
      <c r="A48" s="16">
        <f>IF($B48="","",COUNTA($B$4:$B48))</f>
        <v/>
      </c>
      <c r="B48" s="71" t="n"/>
      <c r="C48" s="18">
        <f>IF($B48="","",N($J47))</f>
        <v/>
      </c>
      <c r="D48" s="38" t="n"/>
      <c r="E48" s="18">
        <f>IF($B48="","",N($C48)+N($D48))</f>
        <v/>
      </c>
      <c r="F48" s="18">
        <f>IF($B48="","",SUMIFS('العهد والرحلات'!$J$4:$J$2003,'العهد والرحلات'!$B$4:$B$2003,$B48))</f>
        <v/>
      </c>
      <c r="G48" s="18">
        <f>IF($B48="","",SUMIFS('الإيصالات'!$C$4:$C$2003,'الإيصالات'!$B$4:$B$2003,$B48))</f>
        <v/>
      </c>
      <c r="H48" s="38" t="n"/>
      <c r="I48" s="18">
        <f>IF($B48="","",N($F48)+N($G48)+N($H48))</f>
        <v/>
      </c>
      <c r="J48" s="18">
        <f>IF($B48="","",N($E48)-N($I48))</f>
        <v/>
      </c>
    </row>
    <row r="49">
      <c r="A49" s="16">
        <f>IF($B49="","",COUNTA($B$4:$B49))</f>
        <v/>
      </c>
      <c r="B49" s="72" t="n"/>
      <c r="C49" s="18">
        <f>IF($B49="","",N($J48))</f>
        <v/>
      </c>
      <c r="D49" s="40" t="n"/>
      <c r="E49" s="18">
        <f>IF($B49="","",N($C49)+N($D49))</f>
        <v/>
      </c>
      <c r="F49" s="18">
        <f>IF($B49="","",SUMIFS('العهد والرحلات'!$J$4:$J$2003,'العهد والرحلات'!$B$4:$B$2003,$B49))</f>
        <v/>
      </c>
      <c r="G49" s="18">
        <f>IF($B49="","",SUMIFS('الإيصالات'!$C$4:$C$2003,'الإيصالات'!$B$4:$B$2003,$B49))</f>
        <v/>
      </c>
      <c r="H49" s="40" t="n"/>
      <c r="I49" s="18">
        <f>IF($B49="","",N($F49)+N($G49)+N($H49))</f>
        <v/>
      </c>
      <c r="J49" s="18">
        <f>IF($B49="","",N($E49)-N($I49))</f>
        <v/>
      </c>
    </row>
    <row r="50">
      <c r="A50" s="16">
        <f>IF($B50="","",COUNTA($B$4:$B50))</f>
        <v/>
      </c>
      <c r="B50" s="71" t="n"/>
      <c r="C50" s="18">
        <f>IF($B50="","",N($J49))</f>
        <v/>
      </c>
      <c r="D50" s="38" t="n"/>
      <c r="E50" s="18">
        <f>IF($B50="","",N($C50)+N($D50))</f>
        <v/>
      </c>
      <c r="F50" s="18">
        <f>IF($B50="","",SUMIFS('العهد والرحلات'!$J$4:$J$2003,'العهد والرحلات'!$B$4:$B$2003,$B50))</f>
        <v/>
      </c>
      <c r="G50" s="18">
        <f>IF($B50="","",SUMIFS('الإيصالات'!$C$4:$C$2003,'الإيصالات'!$B$4:$B$2003,$B50))</f>
        <v/>
      </c>
      <c r="H50" s="38" t="n"/>
      <c r="I50" s="18">
        <f>IF($B50="","",N($F50)+N($G50)+N($H50))</f>
        <v/>
      </c>
      <c r="J50" s="18">
        <f>IF($B50="","",N($E50)-N($I50))</f>
        <v/>
      </c>
    </row>
    <row r="51">
      <c r="A51" s="16">
        <f>IF($B51="","",COUNTA($B$4:$B51))</f>
        <v/>
      </c>
      <c r="B51" s="72" t="n"/>
      <c r="C51" s="18">
        <f>IF($B51="","",N($J50))</f>
        <v/>
      </c>
      <c r="D51" s="40" t="n"/>
      <c r="E51" s="18">
        <f>IF($B51="","",N($C51)+N($D51))</f>
        <v/>
      </c>
      <c r="F51" s="18">
        <f>IF($B51="","",SUMIFS('العهد والرحلات'!$J$4:$J$2003,'العهد والرحلات'!$B$4:$B$2003,$B51))</f>
        <v/>
      </c>
      <c r="G51" s="18">
        <f>IF($B51="","",SUMIFS('الإيصالات'!$C$4:$C$2003,'الإيصالات'!$B$4:$B$2003,$B51))</f>
        <v/>
      </c>
      <c r="H51" s="40" t="n"/>
      <c r="I51" s="18">
        <f>IF($B51="","",N($F51)+N($G51)+N($H51))</f>
        <v/>
      </c>
      <c r="J51" s="18">
        <f>IF($B51="","",N($E51)-N($I51))</f>
        <v/>
      </c>
    </row>
    <row r="52">
      <c r="A52" s="16">
        <f>IF($B52="","",COUNTA($B$4:$B52))</f>
        <v/>
      </c>
      <c r="B52" s="71" t="n"/>
      <c r="C52" s="18">
        <f>IF($B52="","",N($J51))</f>
        <v/>
      </c>
      <c r="D52" s="38" t="n"/>
      <c r="E52" s="18">
        <f>IF($B52="","",N($C52)+N($D52))</f>
        <v/>
      </c>
      <c r="F52" s="18">
        <f>IF($B52="","",SUMIFS('العهد والرحلات'!$J$4:$J$2003,'العهد والرحلات'!$B$4:$B$2003,$B52))</f>
        <v/>
      </c>
      <c r="G52" s="18">
        <f>IF($B52="","",SUMIFS('الإيصالات'!$C$4:$C$2003,'الإيصالات'!$B$4:$B$2003,$B52))</f>
        <v/>
      </c>
      <c r="H52" s="38" t="n"/>
      <c r="I52" s="18">
        <f>IF($B52="","",N($F52)+N($G52)+N($H52))</f>
        <v/>
      </c>
      <c r="J52" s="18">
        <f>IF($B52="","",N($E52)-N($I52))</f>
        <v/>
      </c>
    </row>
    <row r="53">
      <c r="A53" s="16">
        <f>IF($B53="","",COUNTA($B$4:$B53))</f>
        <v/>
      </c>
      <c r="B53" s="72" t="n"/>
      <c r="C53" s="18">
        <f>IF($B53="","",N($J52))</f>
        <v/>
      </c>
      <c r="D53" s="40" t="n"/>
      <c r="E53" s="18">
        <f>IF($B53="","",N($C53)+N($D53))</f>
        <v/>
      </c>
      <c r="F53" s="18">
        <f>IF($B53="","",SUMIFS('العهد والرحلات'!$J$4:$J$2003,'العهد والرحلات'!$B$4:$B$2003,$B53))</f>
        <v/>
      </c>
      <c r="G53" s="18">
        <f>IF($B53="","",SUMIFS('الإيصالات'!$C$4:$C$2003,'الإيصالات'!$B$4:$B$2003,$B53))</f>
        <v/>
      </c>
      <c r="H53" s="40" t="n"/>
      <c r="I53" s="18">
        <f>IF($B53="","",N($F53)+N($G53)+N($H53))</f>
        <v/>
      </c>
      <c r="J53" s="18">
        <f>IF($B53="","",N($E53)-N($I53))</f>
        <v/>
      </c>
    </row>
    <row r="54">
      <c r="A54" s="16">
        <f>IF($B54="","",COUNTA($B$4:$B54))</f>
        <v/>
      </c>
      <c r="B54" s="71" t="n"/>
      <c r="C54" s="18">
        <f>IF($B54="","",N($J53))</f>
        <v/>
      </c>
      <c r="D54" s="38" t="n"/>
      <c r="E54" s="18">
        <f>IF($B54="","",N($C54)+N($D54))</f>
        <v/>
      </c>
      <c r="F54" s="18">
        <f>IF($B54="","",SUMIFS('العهد والرحلات'!$J$4:$J$2003,'العهد والرحلات'!$B$4:$B$2003,$B54))</f>
        <v/>
      </c>
      <c r="G54" s="18">
        <f>IF($B54="","",SUMIFS('الإيصالات'!$C$4:$C$2003,'الإيصالات'!$B$4:$B$2003,$B54))</f>
        <v/>
      </c>
      <c r="H54" s="38" t="n"/>
      <c r="I54" s="18">
        <f>IF($B54="","",N($F54)+N($G54)+N($H54))</f>
        <v/>
      </c>
      <c r="J54" s="18">
        <f>IF($B54="","",N($E54)-N($I54))</f>
        <v/>
      </c>
    </row>
    <row r="55">
      <c r="A55" s="16">
        <f>IF($B55="","",COUNTA($B$4:$B55))</f>
        <v/>
      </c>
      <c r="B55" s="72" t="n"/>
      <c r="C55" s="18">
        <f>IF($B55="","",N($J54))</f>
        <v/>
      </c>
      <c r="D55" s="40" t="n"/>
      <c r="E55" s="18">
        <f>IF($B55="","",N($C55)+N($D55))</f>
        <v/>
      </c>
      <c r="F55" s="18">
        <f>IF($B55="","",SUMIFS('العهد والرحلات'!$J$4:$J$2003,'العهد والرحلات'!$B$4:$B$2003,$B55))</f>
        <v/>
      </c>
      <c r="G55" s="18">
        <f>IF($B55="","",SUMIFS('الإيصالات'!$C$4:$C$2003,'الإيصالات'!$B$4:$B$2003,$B55))</f>
        <v/>
      </c>
      <c r="H55" s="40" t="n"/>
      <c r="I55" s="18">
        <f>IF($B55="","",N($F55)+N($G55)+N($H55))</f>
        <v/>
      </c>
      <c r="J55" s="18">
        <f>IF($B55="","",N($E55)-N($I55))</f>
        <v/>
      </c>
    </row>
    <row r="56">
      <c r="A56" s="16">
        <f>IF($B56="","",COUNTA($B$4:$B56))</f>
        <v/>
      </c>
      <c r="B56" s="71" t="n"/>
      <c r="C56" s="18">
        <f>IF($B56="","",N($J55))</f>
        <v/>
      </c>
      <c r="D56" s="38" t="n"/>
      <c r="E56" s="18">
        <f>IF($B56="","",N($C56)+N($D56))</f>
        <v/>
      </c>
      <c r="F56" s="18">
        <f>IF($B56="","",SUMIFS('العهد والرحلات'!$J$4:$J$2003,'العهد والرحلات'!$B$4:$B$2003,$B56))</f>
        <v/>
      </c>
      <c r="G56" s="18">
        <f>IF($B56="","",SUMIFS('الإيصالات'!$C$4:$C$2003,'الإيصالات'!$B$4:$B$2003,$B56))</f>
        <v/>
      </c>
      <c r="H56" s="38" t="n"/>
      <c r="I56" s="18">
        <f>IF($B56="","",N($F56)+N($G56)+N($H56))</f>
        <v/>
      </c>
      <c r="J56" s="18">
        <f>IF($B56="","",N($E56)-N($I56))</f>
        <v/>
      </c>
    </row>
    <row r="57">
      <c r="A57" s="16">
        <f>IF($B57="","",COUNTA($B$4:$B57))</f>
        <v/>
      </c>
      <c r="B57" s="72" t="n"/>
      <c r="C57" s="18">
        <f>IF($B57="","",N($J56))</f>
        <v/>
      </c>
      <c r="D57" s="40" t="n"/>
      <c r="E57" s="18">
        <f>IF($B57="","",N($C57)+N($D57))</f>
        <v/>
      </c>
      <c r="F57" s="18">
        <f>IF($B57="","",SUMIFS('العهد والرحلات'!$J$4:$J$2003,'العهد والرحلات'!$B$4:$B$2003,$B57))</f>
        <v/>
      </c>
      <c r="G57" s="18">
        <f>IF($B57="","",SUMIFS('الإيصالات'!$C$4:$C$2003,'الإيصالات'!$B$4:$B$2003,$B57))</f>
        <v/>
      </c>
      <c r="H57" s="40" t="n"/>
      <c r="I57" s="18">
        <f>IF($B57="","",N($F57)+N($G57)+N($H57))</f>
        <v/>
      </c>
      <c r="J57" s="18">
        <f>IF($B57="","",N($E57)-N($I57))</f>
        <v/>
      </c>
    </row>
    <row r="58">
      <c r="A58" s="16">
        <f>IF($B58="","",COUNTA($B$4:$B58))</f>
        <v/>
      </c>
      <c r="B58" s="71" t="n"/>
      <c r="C58" s="18">
        <f>IF($B58="","",N($J57))</f>
        <v/>
      </c>
      <c r="D58" s="38" t="n"/>
      <c r="E58" s="18">
        <f>IF($B58="","",N($C58)+N($D58))</f>
        <v/>
      </c>
      <c r="F58" s="18">
        <f>IF($B58="","",SUMIFS('العهد والرحلات'!$J$4:$J$2003,'العهد والرحلات'!$B$4:$B$2003,$B58))</f>
        <v/>
      </c>
      <c r="G58" s="18">
        <f>IF($B58="","",SUMIFS('الإيصالات'!$C$4:$C$2003,'الإيصالات'!$B$4:$B$2003,$B58))</f>
        <v/>
      </c>
      <c r="H58" s="38" t="n"/>
      <c r="I58" s="18">
        <f>IF($B58="","",N($F58)+N($G58)+N($H58))</f>
        <v/>
      </c>
      <c r="J58" s="18">
        <f>IF($B58="","",N($E58)-N($I58))</f>
        <v/>
      </c>
    </row>
    <row r="59">
      <c r="A59" s="16">
        <f>IF($B59="","",COUNTA($B$4:$B59))</f>
        <v/>
      </c>
      <c r="B59" s="72" t="n"/>
      <c r="C59" s="18">
        <f>IF($B59="","",N($J58))</f>
        <v/>
      </c>
      <c r="D59" s="40" t="n"/>
      <c r="E59" s="18">
        <f>IF($B59="","",N($C59)+N($D59))</f>
        <v/>
      </c>
      <c r="F59" s="18">
        <f>IF($B59="","",SUMIFS('العهد والرحلات'!$J$4:$J$2003,'العهد والرحلات'!$B$4:$B$2003,$B59))</f>
        <v/>
      </c>
      <c r="G59" s="18">
        <f>IF($B59="","",SUMIFS('الإيصالات'!$C$4:$C$2003,'الإيصالات'!$B$4:$B$2003,$B59))</f>
        <v/>
      </c>
      <c r="H59" s="40" t="n"/>
      <c r="I59" s="18">
        <f>IF($B59="","",N($F59)+N($G59)+N($H59))</f>
        <v/>
      </c>
      <c r="J59" s="18">
        <f>IF($B59="","",N($E59)-N($I59))</f>
        <v/>
      </c>
    </row>
    <row r="60">
      <c r="A60" s="16">
        <f>IF($B60="","",COUNTA($B$4:$B60))</f>
        <v/>
      </c>
      <c r="B60" s="71" t="n"/>
      <c r="C60" s="18">
        <f>IF($B60="","",N($J59))</f>
        <v/>
      </c>
      <c r="D60" s="38" t="n"/>
      <c r="E60" s="18">
        <f>IF($B60="","",N($C60)+N($D60))</f>
        <v/>
      </c>
      <c r="F60" s="18">
        <f>IF($B60="","",SUMIFS('العهد والرحلات'!$J$4:$J$2003,'العهد والرحلات'!$B$4:$B$2003,$B60))</f>
        <v/>
      </c>
      <c r="G60" s="18">
        <f>IF($B60="","",SUMIFS('الإيصالات'!$C$4:$C$2003,'الإيصالات'!$B$4:$B$2003,$B60))</f>
        <v/>
      </c>
      <c r="H60" s="38" t="n"/>
      <c r="I60" s="18">
        <f>IF($B60="","",N($F60)+N($G60)+N($H60))</f>
        <v/>
      </c>
      <c r="J60" s="18">
        <f>IF($B60="","",N($E60)-N($I60))</f>
        <v/>
      </c>
    </row>
    <row r="61">
      <c r="A61" s="16">
        <f>IF($B61="","",COUNTA($B$4:$B61))</f>
        <v/>
      </c>
      <c r="B61" s="72" t="n"/>
      <c r="C61" s="18">
        <f>IF($B61="","",N($J60))</f>
        <v/>
      </c>
      <c r="D61" s="40" t="n"/>
      <c r="E61" s="18">
        <f>IF($B61="","",N($C61)+N($D61))</f>
        <v/>
      </c>
      <c r="F61" s="18">
        <f>IF($B61="","",SUMIFS('العهد والرحلات'!$J$4:$J$2003,'العهد والرحلات'!$B$4:$B$2003,$B61))</f>
        <v/>
      </c>
      <c r="G61" s="18">
        <f>IF($B61="","",SUMIFS('الإيصالات'!$C$4:$C$2003,'الإيصالات'!$B$4:$B$2003,$B61))</f>
        <v/>
      </c>
      <c r="H61" s="40" t="n"/>
      <c r="I61" s="18">
        <f>IF($B61="","",N($F61)+N($G61)+N($H61))</f>
        <v/>
      </c>
      <c r="J61" s="18">
        <f>IF($B61="","",N($E61)-N($I61))</f>
        <v/>
      </c>
    </row>
    <row r="62">
      <c r="A62" s="16">
        <f>IF($B62="","",COUNTA($B$4:$B62))</f>
        <v/>
      </c>
      <c r="B62" s="71" t="n"/>
      <c r="C62" s="18">
        <f>IF($B62="","",N($J61))</f>
        <v/>
      </c>
      <c r="D62" s="38" t="n"/>
      <c r="E62" s="18">
        <f>IF($B62="","",N($C62)+N($D62))</f>
        <v/>
      </c>
      <c r="F62" s="18">
        <f>IF($B62="","",SUMIFS('العهد والرحلات'!$J$4:$J$2003,'العهد والرحلات'!$B$4:$B$2003,$B62))</f>
        <v/>
      </c>
      <c r="G62" s="18">
        <f>IF($B62="","",SUMIFS('الإيصالات'!$C$4:$C$2003,'الإيصالات'!$B$4:$B$2003,$B62))</f>
        <v/>
      </c>
      <c r="H62" s="38" t="n"/>
      <c r="I62" s="18">
        <f>IF($B62="","",N($F62)+N($G62)+N($H62))</f>
        <v/>
      </c>
      <c r="J62" s="18">
        <f>IF($B62="","",N($E62)-N($I62))</f>
        <v/>
      </c>
    </row>
    <row r="63">
      <c r="A63" s="16">
        <f>IF($B63="","",COUNTA($B$4:$B63))</f>
        <v/>
      </c>
      <c r="B63" s="72" t="n"/>
      <c r="C63" s="18">
        <f>IF($B63="","",N($J62))</f>
        <v/>
      </c>
      <c r="D63" s="40" t="n"/>
      <c r="E63" s="18">
        <f>IF($B63="","",N($C63)+N($D63))</f>
        <v/>
      </c>
      <c r="F63" s="18">
        <f>IF($B63="","",SUMIFS('العهد والرحلات'!$J$4:$J$2003,'العهد والرحلات'!$B$4:$B$2003,$B63))</f>
        <v/>
      </c>
      <c r="G63" s="18">
        <f>IF($B63="","",SUMIFS('الإيصالات'!$C$4:$C$2003,'الإيصالات'!$B$4:$B$2003,$B63))</f>
        <v/>
      </c>
      <c r="H63" s="40" t="n"/>
      <c r="I63" s="18">
        <f>IF($B63="","",N($F63)+N($G63)+N($H63))</f>
        <v/>
      </c>
      <c r="J63" s="18">
        <f>IF($B63="","",N($E63)-N($I63))</f>
        <v/>
      </c>
    </row>
    <row r="64">
      <c r="A64" s="16">
        <f>IF($B64="","",COUNTA($B$4:$B64))</f>
        <v/>
      </c>
      <c r="B64" s="71" t="n"/>
      <c r="C64" s="18">
        <f>IF($B64="","",N($J63))</f>
        <v/>
      </c>
      <c r="D64" s="38" t="n"/>
      <c r="E64" s="18">
        <f>IF($B64="","",N($C64)+N($D64))</f>
        <v/>
      </c>
      <c r="F64" s="18">
        <f>IF($B64="","",SUMIFS('العهد والرحلات'!$J$4:$J$2003,'العهد والرحلات'!$B$4:$B$2003,$B64))</f>
        <v/>
      </c>
      <c r="G64" s="18">
        <f>IF($B64="","",SUMIFS('الإيصالات'!$C$4:$C$2003,'الإيصالات'!$B$4:$B$2003,$B64))</f>
        <v/>
      </c>
      <c r="H64" s="38" t="n"/>
      <c r="I64" s="18">
        <f>IF($B64="","",N($F64)+N($G64)+N($H64))</f>
        <v/>
      </c>
      <c r="J64" s="18">
        <f>IF($B64="","",N($E64)-N($I64))</f>
        <v/>
      </c>
    </row>
    <row r="65">
      <c r="A65" s="16">
        <f>IF($B65="","",COUNTA($B$4:$B65))</f>
        <v/>
      </c>
      <c r="B65" s="72" t="n"/>
      <c r="C65" s="18">
        <f>IF($B65="","",N($J64))</f>
        <v/>
      </c>
      <c r="D65" s="40" t="n"/>
      <c r="E65" s="18">
        <f>IF($B65="","",N($C65)+N($D65))</f>
        <v/>
      </c>
      <c r="F65" s="18">
        <f>IF($B65="","",SUMIFS('العهد والرحلات'!$J$4:$J$2003,'العهد والرحلات'!$B$4:$B$2003,$B65))</f>
        <v/>
      </c>
      <c r="G65" s="18">
        <f>IF($B65="","",SUMIFS('الإيصالات'!$C$4:$C$2003,'الإيصالات'!$B$4:$B$2003,$B65))</f>
        <v/>
      </c>
      <c r="H65" s="40" t="n"/>
      <c r="I65" s="18">
        <f>IF($B65="","",N($F65)+N($G65)+N($H65))</f>
        <v/>
      </c>
      <c r="J65" s="18">
        <f>IF($B65="","",N($E65)-N($I65))</f>
        <v/>
      </c>
    </row>
    <row r="66">
      <c r="A66" s="16">
        <f>IF($B66="","",COUNTA($B$4:$B66))</f>
        <v/>
      </c>
      <c r="B66" s="71" t="n"/>
      <c r="C66" s="18">
        <f>IF($B66="","",N($J65))</f>
        <v/>
      </c>
      <c r="D66" s="38" t="n"/>
      <c r="E66" s="18">
        <f>IF($B66="","",N($C66)+N($D66))</f>
        <v/>
      </c>
      <c r="F66" s="18">
        <f>IF($B66="","",SUMIFS('العهد والرحلات'!$J$4:$J$2003,'العهد والرحلات'!$B$4:$B$2003,$B66))</f>
        <v/>
      </c>
      <c r="G66" s="18">
        <f>IF($B66="","",SUMIFS('الإيصالات'!$C$4:$C$2003,'الإيصالات'!$B$4:$B$2003,$B66))</f>
        <v/>
      </c>
      <c r="H66" s="38" t="n"/>
      <c r="I66" s="18">
        <f>IF($B66="","",N($F66)+N($G66)+N($H66))</f>
        <v/>
      </c>
      <c r="J66" s="18">
        <f>IF($B66="","",N($E66)-N($I66))</f>
        <v/>
      </c>
    </row>
    <row r="67">
      <c r="A67" s="16">
        <f>IF($B67="","",COUNTA($B$4:$B67))</f>
        <v/>
      </c>
      <c r="B67" s="72" t="n"/>
      <c r="C67" s="18">
        <f>IF($B67="","",N($J66))</f>
        <v/>
      </c>
      <c r="D67" s="40" t="n"/>
      <c r="E67" s="18">
        <f>IF($B67="","",N($C67)+N($D67))</f>
        <v/>
      </c>
      <c r="F67" s="18">
        <f>IF($B67="","",SUMIFS('العهد والرحلات'!$J$4:$J$2003,'العهد والرحلات'!$B$4:$B$2003,$B67))</f>
        <v/>
      </c>
      <c r="G67" s="18">
        <f>IF($B67="","",SUMIFS('الإيصالات'!$C$4:$C$2003,'الإيصالات'!$B$4:$B$2003,$B67))</f>
        <v/>
      </c>
      <c r="H67" s="40" t="n"/>
      <c r="I67" s="18">
        <f>IF($B67="","",N($F67)+N($G67)+N($H67))</f>
        <v/>
      </c>
      <c r="J67" s="18">
        <f>IF($B67="","",N($E67)-N($I67))</f>
        <v/>
      </c>
    </row>
    <row r="68">
      <c r="A68" s="16">
        <f>IF($B68="","",COUNTA($B$4:$B68))</f>
        <v/>
      </c>
      <c r="B68" s="71" t="n"/>
      <c r="C68" s="18">
        <f>IF($B68="","",N($J67))</f>
        <v/>
      </c>
      <c r="D68" s="38" t="n"/>
      <c r="E68" s="18">
        <f>IF($B68="","",N($C68)+N($D68))</f>
        <v/>
      </c>
      <c r="F68" s="18">
        <f>IF($B68="","",SUMIFS('العهد والرحلات'!$J$4:$J$2003,'العهد والرحلات'!$B$4:$B$2003,$B68))</f>
        <v/>
      </c>
      <c r="G68" s="18">
        <f>IF($B68="","",SUMIFS('الإيصالات'!$C$4:$C$2003,'الإيصالات'!$B$4:$B$2003,$B68))</f>
        <v/>
      </c>
      <c r="H68" s="38" t="n"/>
      <c r="I68" s="18">
        <f>IF($B68="","",N($F68)+N($G68)+N($H68))</f>
        <v/>
      </c>
      <c r="J68" s="18">
        <f>IF($B68="","",N($E68)-N($I68))</f>
        <v/>
      </c>
    </row>
    <row r="69">
      <c r="A69" s="16">
        <f>IF($B69="","",COUNTA($B$4:$B69))</f>
        <v/>
      </c>
      <c r="B69" s="72" t="n"/>
      <c r="C69" s="18">
        <f>IF($B69="","",N($J68))</f>
        <v/>
      </c>
      <c r="D69" s="40" t="n"/>
      <c r="E69" s="18">
        <f>IF($B69="","",N($C69)+N($D69))</f>
        <v/>
      </c>
      <c r="F69" s="18">
        <f>IF($B69="","",SUMIFS('العهد والرحلات'!$J$4:$J$2003,'العهد والرحلات'!$B$4:$B$2003,$B69))</f>
        <v/>
      </c>
      <c r="G69" s="18">
        <f>IF($B69="","",SUMIFS('الإيصالات'!$C$4:$C$2003,'الإيصالات'!$B$4:$B$2003,$B69))</f>
        <v/>
      </c>
      <c r="H69" s="40" t="n"/>
      <c r="I69" s="18">
        <f>IF($B69="","",N($F69)+N($G69)+N($H69))</f>
        <v/>
      </c>
      <c r="J69" s="18">
        <f>IF($B69="","",N($E69)-N($I69))</f>
        <v/>
      </c>
    </row>
    <row r="70">
      <c r="A70" s="16">
        <f>IF($B70="","",COUNTA($B$4:$B70))</f>
        <v/>
      </c>
      <c r="B70" s="71" t="n"/>
      <c r="C70" s="18">
        <f>IF($B70="","",N($J69))</f>
        <v/>
      </c>
      <c r="D70" s="38" t="n"/>
      <c r="E70" s="18">
        <f>IF($B70="","",N($C70)+N($D70))</f>
        <v/>
      </c>
      <c r="F70" s="18">
        <f>IF($B70="","",SUMIFS('العهد والرحلات'!$J$4:$J$2003,'العهد والرحلات'!$B$4:$B$2003,$B70))</f>
        <v/>
      </c>
      <c r="G70" s="18">
        <f>IF($B70="","",SUMIFS('الإيصالات'!$C$4:$C$2003,'الإيصالات'!$B$4:$B$2003,$B70))</f>
        <v/>
      </c>
      <c r="H70" s="38" t="n"/>
      <c r="I70" s="18">
        <f>IF($B70="","",N($F70)+N($G70)+N($H70))</f>
        <v/>
      </c>
      <c r="J70" s="18">
        <f>IF($B70="","",N($E70)-N($I70))</f>
        <v/>
      </c>
    </row>
    <row r="71">
      <c r="A71" s="16">
        <f>IF($B71="","",COUNTA($B$4:$B71))</f>
        <v/>
      </c>
      <c r="B71" s="72" t="n"/>
      <c r="C71" s="18">
        <f>IF($B71="","",N($J70))</f>
        <v/>
      </c>
      <c r="D71" s="40" t="n"/>
      <c r="E71" s="18">
        <f>IF($B71="","",N($C71)+N($D71))</f>
        <v/>
      </c>
      <c r="F71" s="18">
        <f>IF($B71="","",SUMIFS('العهد والرحلات'!$J$4:$J$2003,'العهد والرحلات'!$B$4:$B$2003,$B71))</f>
        <v/>
      </c>
      <c r="G71" s="18">
        <f>IF($B71="","",SUMIFS('الإيصالات'!$C$4:$C$2003,'الإيصالات'!$B$4:$B$2003,$B71))</f>
        <v/>
      </c>
      <c r="H71" s="40" t="n"/>
      <c r="I71" s="18">
        <f>IF($B71="","",N($F71)+N($G71)+N($H71))</f>
        <v/>
      </c>
      <c r="J71" s="18">
        <f>IF($B71="","",N($E71)-N($I71))</f>
        <v/>
      </c>
    </row>
    <row r="72">
      <c r="A72" s="16">
        <f>IF($B72="","",COUNTA($B$4:$B72))</f>
        <v/>
      </c>
      <c r="B72" s="71" t="n"/>
      <c r="C72" s="18">
        <f>IF($B72="","",N($J71))</f>
        <v/>
      </c>
      <c r="D72" s="38" t="n"/>
      <c r="E72" s="18">
        <f>IF($B72="","",N($C72)+N($D72))</f>
        <v/>
      </c>
      <c r="F72" s="18">
        <f>IF($B72="","",SUMIFS('العهد والرحلات'!$J$4:$J$2003,'العهد والرحلات'!$B$4:$B$2003,$B72))</f>
        <v/>
      </c>
      <c r="G72" s="18">
        <f>IF($B72="","",SUMIFS('الإيصالات'!$C$4:$C$2003,'الإيصالات'!$B$4:$B$2003,$B72))</f>
        <v/>
      </c>
      <c r="H72" s="38" t="n"/>
      <c r="I72" s="18">
        <f>IF($B72="","",N($F72)+N($G72)+N($H72))</f>
        <v/>
      </c>
      <c r="J72" s="18">
        <f>IF($B72="","",N($E72)-N($I72))</f>
        <v/>
      </c>
    </row>
    <row r="73">
      <c r="A73" s="16">
        <f>IF($B73="","",COUNTA($B$4:$B73))</f>
        <v/>
      </c>
      <c r="B73" s="72" t="n"/>
      <c r="C73" s="18">
        <f>IF($B73="","",N($J72))</f>
        <v/>
      </c>
      <c r="D73" s="40" t="n"/>
      <c r="E73" s="18">
        <f>IF($B73="","",N($C73)+N($D73))</f>
        <v/>
      </c>
      <c r="F73" s="18">
        <f>IF($B73="","",SUMIFS('العهد والرحلات'!$J$4:$J$2003,'العهد والرحلات'!$B$4:$B$2003,$B73))</f>
        <v/>
      </c>
      <c r="G73" s="18">
        <f>IF($B73="","",SUMIFS('الإيصالات'!$C$4:$C$2003,'الإيصالات'!$B$4:$B$2003,$B73))</f>
        <v/>
      </c>
      <c r="H73" s="40" t="n"/>
      <c r="I73" s="18">
        <f>IF($B73="","",N($F73)+N($G73)+N($H73))</f>
        <v/>
      </c>
      <c r="J73" s="18">
        <f>IF($B73="","",N($E73)-N($I73))</f>
        <v/>
      </c>
    </row>
    <row r="74">
      <c r="A74" s="16">
        <f>IF($B74="","",COUNTA($B$4:$B74))</f>
        <v/>
      </c>
      <c r="B74" s="71" t="n"/>
      <c r="C74" s="18">
        <f>IF($B74="","",N($J73))</f>
        <v/>
      </c>
      <c r="D74" s="38" t="n"/>
      <c r="E74" s="18">
        <f>IF($B74="","",N($C74)+N($D74))</f>
        <v/>
      </c>
      <c r="F74" s="18">
        <f>IF($B74="","",SUMIFS('العهد والرحلات'!$J$4:$J$2003,'العهد والرحلات'!$B$4:$B$2003,$B74))</f>
        <v/>
      </c>
      <c r="G74" s="18">
        <f>IF($B74="","",SUMIFS('الإيصالات'!$C$4:$C$2003,'الإيصالات'!$B$4:$B$2003,$B74))</f>
        <v/>
      </c>
      <c r="H74" s="38" t="n"/>
      <c r="I74" s="18">
        <f>IF($B74="","",N($F74)+N($G74)+N($H74))</f>
        <v/>
      </c>
      <c r="J74" s="18">
        <f>IF($B74="","",N($E74)-N($I74))</f>
        <v/>
      </c>
    </row>
    <row r="75">
      <c r="A75" s="16">
        <f>IF($B75="","",COUNTA($B$4:$B75))</f>
        <v/>
      </c>
      <c r="B75" s="72" t="n"/>
      <c r="C75" s="18">
        <f>IF($B75="","",N($J74))</f>
        <v/>
      </c>
      <c r="D75" s="40" t="n"/>
      <c r="E75" s="18">
        <f>IF($B75="","",N($C75)+N($D75))</f>
        <v/>
      </c>
      <c r="F75" s="18">
        <f>IF($B75="","",SUMIFS('العهد والرحلات'!$J$4:$J$2003,'العهد والرحلات'!$B$4:$B$2003,$B75))</f>
        <v/>
      </c>
      <c r="G75" s="18">
        <f>IF($B75="","",SUMIFS('الإيصالات'!$C$4:$C$2003,'الإيصالات'!$B$4:$B$2003,$B75))</f>
        <v/>
      </c>
      <c r="H75" s="40" t="n"/>
      <c r="I75" s="18">
        <f>IF($B75="","",N($F75)+N($G75)+N($H75))</f>
        <v/>
      </c>
      <c r="J75" s="18">
        <f>IF($B75="","",N($E75)-N($I75))</f>
        <v/>
      </c>
    </row>
    <row r="76">
      <c r="A76" s="16">
        <f>IF($B76="","",COUNTA($B$4:$B76))</f>
        <v/>
      </c>
      <c r="B76" s="71" t="n"/>
      <c r="C76" s="18">
        <f>IF($B76="","",N($J75))</f>
        <v/>
      </c>
      <c r="D76" s="38" t="n"/>
      <c r="E76" s="18">
        <f>IF($B76="","",N($C76)+N($D76))</f>
        <v/>
      </c>
      <c r="F76" s="18">
        <f>IF($B76="","",SUMIFS('العهد والرحلات'!$J$4:$J$2003,'العهد والرحلات'!$B$4:$B$2003,$B76))</f>
        <v/>
      </c>
      <c r="G76" s="18">
        <f>IF($B76="","",SUMIFS('الإيصالات'!$C$4:$C$2003,'الإيصالات'!$B$4:$B$2003,$B76))</f>
        <v/>
      </c>
      <c r="H76" s="38" t="n"/>
      <c r="I76" s="18">
        <f>IF($B76="","",N($F76)+N($G76)+N($H76))</f>
        <v/>
      </c>
      <c r="J76" s="18">
        <f>IF($B76="","",N($E76)-N($I76))</f>
        <v/>
      </c>
    </row>
    <row r="77">
      <c r="A77" s="16">
        <f>IF($B77="","",COUNTA($B$4:$B77))</f>
        <v/>
      </c>
      <c r="B77" s="72" t="n"/>
      <c r="C77" s="18">
        <f>IF($B77="","",N($J76))</f>
        <v/>
      </c>
      <c r="D77" s="40" t="n"/>
      <c r="E77" s="18">
        <f>IF($B77="","",N($C77)+N($D77))</f>
        <v/>
      </c>
      <c r="F77" s="18">
        <f>IF($B77="","",SUMIFS('العهد والرحلات'!$J$4:$J$2003,'العهد والرحلات'!$B$4:$B$2003,$B77))</f>
        <v/>
      </c>
      <c r="G77" s="18">
        <f>IF($B77="","",SUMIFS('الإيصالات'!$C$4:$C$2003,'الإيصالات'!$B$4:$B$2003,$B77))</f>
        <v/>
      </c>
      <c r="H77" s="40" t="n"/>
      <c r="I77" s="18">
        <f>IF($B77="","",N($F77)+N($G77)+N($H77))</f>
        <v/>
      </c>
      <c r="J77" s="18">
        <f>IF($B77="","",N($E77)-N($I77))</f>
        <v/>
      </c>
    </row>
    <row r="78">
      <c r="A78" s="16">
        <f>IF($B78="","",COUNTA($B$4:$B78))</f>
        <v/>
      </c>
      <c r="B78" s="71" t="n"/>
      <c r="C78" s="18">
        <f>IF($B78="","",N($J77))</f>
        <v/>
      </c>
      <c r="D78" s="38" t="n"/>
      <c r="E78" s="18">
        <f>IF($B78="","",N($C78)+N($D78))</f>
        <v/>
      </c>
      <c r="F78" s="18">
        <f>IF($B78="","",SUMIFS('العهد والرحلات'!$J$4:$J$2003,'العهد والرحلات'!$B$4:$B$2003,$B78))</f>
        <v/>
      </c>
      <c r="G78" s="18">
        <f>IF($B78="","",SUMIFS('الإيصالات'!$C$4:$C$2003,'الإيصالات'!$B$4:$B$2003,$B78))</f>
        <v/>
      </c>
      <c r="H78" s="38" t="n"/>
      <c r="I78" s="18">
        <f>IF($B78="","",N($F78)+N($G78)+N($H78))</f>
        <v/>
      </c>
      <c r="J78" s="18">
        <f>IF($B78="","",N($E78)-N($I78))</f>
        <v/>
      </c>
    </row>
    <row r="79">
      <c r="A79" s="16">
        <f>IF($B79="","",COUNTA($B$4:$B79))</f>
        <v/>
      </c>
      <c r="B79" s="72" t="n"/>
      <c r="C79" s="18">
        <f>IF($B79="","",N($J78))</f>
        <v/>
      </c>
      <c r="D79" s="40" t="n"/>
      <c r="E79" s="18">
        <f>IF($B79="","",N($C79)+N($D79))</f>
        <v/>
      </c>
      <c r="F79" s="18">
        <f>IF($B79="","",SUMIFS('العهد والرحلات'!$J$4:$J$2003,'العهد والرحلات'!$B$4:$B$2003,$B79))</f>
        <v/>
      </c>
      <c r="G79" s="18">
        <f>IF($B79="","",SUMIFS('الإيصالات'!$C$4:$C$2003,'الإيصالات'!$B$4:$B$2003,$B79))</f>
        <v/>
      </c>
      <c r="H79" s="40" t="n"/>
      <c r="I79" s="18">
        <f>IF($B79="","",N($F79)+N($G79)+N($H79))</f>
        <v/>
      </c>
      <c r="J79" s="18">
        <f>IF($B79="","",N($E79)-N($I79))</f>
        <v/>
      </c>
    </row>
    <row r="80">
      <c r="A80" s="16">
        <f>IF($B80="","",COUNTA($B$4:$B80))</f>
        <v/>
      </c>
      <c r="B80" s="71" t="n"/>
      <c r="C80" s="18">
        <f>IF($B80="","",N($J79))</f>
        <v/>
      </c>
      <c r="D80" s="38" t="n"/>
      <c r="E80" s="18">
        <f>IF($B80="","",N($C80)+N($D80))</f>
        <v/>
      </c>
      <c r="F80" s="18">
        <f>IF($B80="","",SUMIFS('العهد والرحلات'!$J$4:$J$2003,'العهد والرحلات'!$B$4:$B$2003,$B80))</f>
        <v/>
      </c>
      <c r="G80" s="18">
        <f>IF($B80="","",SUMIFS('الإيصالات'!$C$4:$C$2003,'الإيصالات'!$B$4:$B$2003,$B80))</f>
        <v/>
      </c>
      <c r="H80" s="38" t="n"/>
      <c r="I80" s="18">
        <f>IF($B80="","",N($F80)+N($G80)+N($H80))</f>
        <v/>
      </c>
      <c r="J80" s="18">
        <f>IF($B80="","",N($E80)-N($I80))</f>
        <v/>
      </c>
    </row>
    <row r="81">
      <c r="A81" s="16">
        <f>IF($B81="","",COUNTA($B$4:$B81))</f>
        <v/>
      </c>
      <c r="B81" s="72" t="n"/>
      <c r="C81" s="18">
        <f>IF($B81="","",N($J80))</f>
        <v/>
      </c>
      <c r="D81" s="40" t="n"/>
      <c r="E81" s="18">
        <f>IF($B81="","",N($C81)+N($D81))</f>
        <v/>
      </c>
      <c r="F81" s="18">
        <f>IF($B81="","",SUMIFS('العهد والرحلات'!$J$4:$J$2003,'العهد والرحلات'!$B$4:$B$2003,$B81))</f>
        <v/>
      </c>
      <c r="G81" s="18">
        <f>IF($B81="","",SUMIFS('الإيصالات'!$C$4:$C$2003,'الإيصالات'!$B$4:$B$2003,$B81))</f>
        <v/>
      </c>
      <c r="H81" s="40" t="n"/>
      <c r="I81" s="18">
        <f>IF($B81="","",N($F81)+N($G81)+N($H81))</f>
        <v/>
      </c>
      <c r="J81" s="18">
        <f>IF($B81="","",N($E81)-N($I81))</f>
        <v/>
      </c>
    </row>
    <row r="82">
      <c r="A82" s="16">
        <f>IF($B82="","",COUNTA($B$4:$B82))</f>
        <v/>
      </c>
      <c r="B82" s="71" t="n"/>
      <c r="C82" s="18">
        <f>IF($B82="","",N($J81))</f>
        <v/>
      </c>
      <c r="D82" s="38" t="n"/>
      <c r="E82" s="18">
        <f>IF($B82="","",N($C82)+N($D82))</f>
        <v/>
      </c>
      <c r="F82" s="18">
        <f>IF($B82="","",SUMIFS('العهد والرحلات'!$J$4:$J$2003,'العهد والرحلات'!$B$4:$B$2003,$B82))</f>
        <v/>
      </c>
      <c r="G82" s="18">
        <f>IF($B82="","",SUMIFS('الإيصالات'!$C$4:$C$2003,'الإيصالات'!$B$4:$B$2003,$B82))</f>
        <v/>
      </c>
      <c r="H82" s="38" t="n"/>
      <c r="I82" s="18">
        <f>IF($B82="","",N($F82)+N($G82)+N($H82))</f>
        <v/>
      </c>
      <c r="J82" s="18">
        <f>IF($B82="","",N($E82)-N($I82))</f>
        <v/>
      </c>
    </row>
    <row r="83">
      <c r="A83" s="16">
        <f>IF($B83="","",COUNTA($B$4:$B83))</f>
        <v/>
      </c>
      <c r="B83" s="72" t="n"/>
      <c r="C83" s="18">
        <f>IF($B83="","",N($J82))</f>
        <v/>
      </c>
      <c r="D83" s="40" t="n"/>
      <c r="E83" s="18">
        <f>IF($B83="","",N($C83)+N($D83))</f>
        <v/>
      </c>
      <c r="F83" s="18">
        <f>IF($B83="","",SUMIFS('العهد والرحلات'!$J$4:$J$2003,'العهد والرحلات'!$B$4:$B$2003,$B83))</f>
        <v/>
      </c>
      <c r="G83" s="18">
        <f>IF($B83="","",SUMIFS('الإيصالات'!$C$4:$C$2003,'الإيصالات'!$B$4:$B$2003,$B83))</f>
        <v/>
      </c>
      <c r="H83" s="40" t="n"/>
      <c r="I83" s="18">
        <f>IF($B83="","",N($F83)+N($G83)+N($H83))</f>
        <v/>
      </c>
      <c r="J83" s="18">
        <f>IF($B83="","",N($E83)-N($I83))</f>
        <v/>
      </c>
    </row>
    <row r="84">
      <c r="A84" s="16">
        <f>IF($B84="","",COUNTA($B$4:$B84))</f>
        <v/>
      </c>
      <c r="B84" s="71" t="n"/>
      <c r="C84" s="18">
        <f>IF($B84="","",N($J83))</f>
        <v/>
      </c>
      <c r="D84" s="38" t="n"/>
      <c r="E84" s="18">
        <f>IF($B84="","",N($C84)+N($D84))</f>
        <v/>
      </c>
      <c r="F84" s="18">
        <f>IF($B84="","",SUMIFS('العهد والرحلات'!$J$4:$J$2003,'العهد والرحلات'!$B$4:$B$2003,$B84))</f>
        <v/>
      </c>
      <c r="G84" s="18">
        <f>IF($B84="","",SUMIFS('الإيصالات'!$C$4:$C$2003,'الإيصالات'!$B$4:$B$2003,$B84))</f>
        <v/>
      </c>
      <c r="H84" s="38" t="n"/>
      <c r="I84" s="18">
        <f>IF($B84="","",N($F84)+N($G84)+N($H84))</f>
        <v/>
      </c>
      <c r="J84" s="18">
        <f>IF($B84="","",N($E84)-N($I84))</f>
        <v/>
      </c>
    </row>
    <row r="85">
      <c r="A85" s="16">
        <f>IF($B85="","",COUNTA($B$4:$B85))</f>
        <v/>
      </c>
      <c r="B85" s="72" t="n"/>
      <c r="C85" s="18">
        <f>IF($B85="","",N($J84))</f>
        <v/>
      </c>
      <c r="D85" s="40" t="n"/>
      <c r="E85" s="18">
        <f>IF($B85="","",N($C85)+N($D85))</f>
        <v/>
      </c>
      <c r="F85" s="18">
        <f>IF($B85="","",SUMIFS('العهد والرحلات'!$J$4:$J$2003,'العهد والرحلات'!$B$4:$B$2003,$B85))</f>
        <v/>
      </c>
      <c r="G85" s="18">
        <f>IF($B85="","",SUMIFS('الإيصالات'!$C$4:$C$2003,'الإيصالات'!$B$4:$B$2003,$B85))</f>
        <v/>
      </c>
      <c r="H85" s="40" t="n"/>
      <c r="I85" s="18">
        <f>IF($B85="","",N($F85)+N($G85)+N($H85))</f>
        <v/>
      </c>
      <c r="J85" s="18">
        <f>IF($B85="","",N($E85)-N($I85))</f>
        <v/>
      </c>
    </row>
    <row r="86">
      <c r="A86" s="16">
        <f>IF($B86="","",COUNTA($B$4:$B86))</f>
        <v/>
      </c>
      <c r="B86" s="71" t="n"/>
      <c r="C86" s="18">
        <f>IF($B86="","",N($J85))</f>
        <v/>
      </c>
      <c r="D86" s="38" t="n"/>
      <c r="E86" s="18">
        <f>IF($B86="","",N($C86)+N($D86))</f>
        <v/>
      </c>
      <c r="F86" s="18">
        <f>IF($B86="","",SUMIFS('العهد والرحلات'!$J$4:$J$2003,'العهد والرحلات'!$B$4:$B$2003,$B86))</f>
        <v/>
      </c>
      <c r="G86" s="18">
        <f>IF($B86="","",SUMIFS('الإيصالات'!$C$4:$C$2003,'الإيصالات'!$B$4:$B$2003,$B86))</f>
        <v/>
      </c>
      <c r="H86" s="38" t="n"/>
      <c r="I86" s="18">
        <f>IF($B86="","",N($F86)+N($G86)+N($H86))</f>
        <v/>
      </c>
      <c r="J86" s="18">
        <f>IF($B86="","",N($E86)-N($I86))</f>
        <v/>
      </c>
    </row>
    <row r="87">
      <c r="A87" s="16">
        <f>IF($B87="","",COUNTA($B$4:$B87))</f>
        <v/>
      </c>
      <c r="B87" s="72" t="n"/>
      <c r="C87" s="18">
        <f>IF($B87="","",N($J86))</f>
        <v/>
      </c>
      <c r="D87" s="40" t="n"/>
      <c r="E87" s="18">
        <f>IF($B87="","",N($C87)+N($D87))</f>
        <v/>
      </c>
      <c r="F87" s="18">
        <f>IF($B87="","",SUMIFS('العهد والرحلات'!$J$4:$J$2003,'العهد والرحلات'!$B$4:$B$2003,$B87))</f>
        <v/>
      </c>
      <c r="G87" s="18">
        <f>IF($B87="","",SUMIFS('الإيصالات'!$C$4:$C$2003,'الإيصالات'!$B$4:$B$2003,$B87))</f>
        <v/>
      </c>
      <c r="H87" s="40" t="n"/>
      <c r="I87" s="18">
        <f>IF($B87="","",N($F87)+N($G87)+N($H87))</f>
        <v/>
      </c>
      <c r="J87" s="18">
        <f>IF($B87="","",N($E87)-N($I87))</f>
        <v/>
      </c>
    </row>
    <row r="88">
      <c r="A88" s="16">
        <f>IF($B88="","",COUNTA($B$4:$B88))</f>
        <v/>
      </c>
      <c r="B88" s="71" t="n"/>
      <c r="C88" s="18">
        <f>IF($B88="","",N($J87))</f>
        <v/>
      </c>
      <c r="D88" s="38" t="n"/>
      <c r="E88" s="18">
        <f>IF($B88="","",N($C88)+N($D88))</f>
        <v/>
      </c>
      <c r="F88" s="18">
        <f>IF($B88="","",SUMIFS('العهد والرحلات'!$J$4:$J$2003,'العهد والرحلات'!$B$4:$B$2003,$B88))</f>
        <v/>
      </c>
      <c r="G88" s="18">
        <f>IF($B88="","",SUMIFS('الإيصالات'!$C$4:$C$2003,'الإيصالات'!$B$4:$B$2003,$B88))</f>
        <v/>
      </c>
      <c r="H88" s="38" t="n"/>
      <c r="I88" s="18">
        <f>IF($B88="","",N($F88)+N($G88)+N($H88))</f>
        <v/>
      </c>
      <c r="J88" s="18">
        <f>IF($B88="","",N($E88)-N($I88))</f>
        <v/>
      </c>
    </row>
    <row r="89">
      <c r="A89" s="16">
        <f>IF($B89="","",COUNTA($B$4:$B89))</f>
        <v/>
      </c>
      <c r="B89" s="72" t="n"/>
      <c r="C89" s="18">
        <f>IF($B89="","",N($J88))</f>
        <v/>
      </c>
      <c r="D89" s="40" t="n"/>
      <c r="E89" s="18">
        <f>IF($B89="","",N($C89)+N($D89))</f>
        <v/>
      </c>
      <c r="F89" s="18">
        <f>IF($B89="","",SUMIFS('العهد والرحلات'!$J$4:$J$2003,'العهد والرحلات'!$B$4:$B$2003,$B89))</f>
        <v/>
      </c>
      <c r="G89" s="18">
        <f>IF($B89="","",SUMIFS('الإيصالات'!$C$4:$C$2003,'الإيصالات'!$B$4:$B$2003,$B89))</f>
        <v/>
      </c>
      <c r="H89" s="40" t="n"/>
      <c r="I89" s="18">
        <f>IF($B89="","",N($F89)+N($G89)+N($H89))</f>
        <v/>
      </c>
      <c r="J89" s="18">
        <f>IF($B89="","",N($E89)-N($I89))</f>
        <v/>
      </c>
    </row>
    <row r="90">
      <c r="A90" s="16">
        <f>IF($B90="","",COUNTA($B$4:$B90))</f>
        <v/>
      </c>
      <c r="B90" s="71" t="n"/>
      <c r="C90" s="18">
        <f>IF($B90="","",N($J89))</f>
        <v/>
      </c>
      <c r="D90" s="38" t="n"/>
      <c r="E90" s="18">
        <f>IF($B90="","",N($C90)+N($D90))</f>
        <v/>
      </c>
      <c r="F90" s="18">
        <f>IF($B90="","",SUMIFS('العهد والرحلات'!$J$4:$J$2003,'العهد والرحلات'!$B$4:$B$2003,$B90))</f>
        <v/>
      </c>
      <c r="G90" s="18">
        <f>IF($B90="","",SUMIFS('الإيصالات'!$C$4:$C$2003,'الإيصالات'!$B$4:$B$2003,$B90))</f>
        <v/>
      </c>
      <c r="H90" s="38" t="n"/>
      <c r="I90" s="18">
        <f>IF($B90="","",N($F90)+N($G90)+N($H90))</f>
        <v/>
      </c>
      <c r="J90" s="18">
        <f>IF($B90="","",N($E90)-N($I90))</f>
        <v/>
      </c>
    </row>
    <row r="91">
      <c r="A91" s="16">
        <f>IF($B91="","",COUNTA($B$4:$B91))</f>
        <v/>
      </c>
      <c r="B91" s="72" t="n"/>
      <c r="C91" s="18">
        <f>IF($B91="","",N($J90))</f>
        <v/>
      </c>
      <c r="D91" s="40" t="n"/>
      <c r="E91" s="18">
        <f>IF($B91="","",N($C91)+N($D91))</f>
        <v/>
      </c>
      <c r="F91" s="18">
        <f>IF($B91="","",SUMIFS('العهد والرحلات'!$J$4:$J$2003,'العهد والرحلات'!$B$4:$B$2003,$B91))</f>
        <v/>
      </c>
      <c r="G91" s="18">
        <f>IF($B91="","",SUMIFS('الإيصالات'!$C$4:$C$2003,'الإيصالات'!$B$4:$B$2003,$B91))</f>
        <v/>
      </c>
      <c r="H91" s="40" t="n"/>
      <c r="I91" s="18">
        <f>IF($B91="","",N($F91)+N($G91)+N($H91))</f>
        <v/>
      </c>
      <c r="J91" s="18">
        <f>IF($B91="","",N($E91)-N($I91))</f>
        <v/>
      </c>
    </row>
    <row r="92">
      <c r="A92" s="16">
        <f>IF($B92="","",COUNTA($B$4:$B92))</f>
        <v/>
      </c>
      <c r="B92" s="71" t="n"/>
      <c r="C92" s="18">
        <f>IF($B92="","",N($J91))</f>
        <v/>
      </c>
      <c r="D92" s="38" t="n"/>
      <c r="E92" s="18">
        <f>IF($B92="","",N($C92)+N($D92))</f>
        <v/>
      </c>
      <c r="F92" s="18">
        <f>IF($B92="","",SUMIFS('العهد والرحلات'!$J$4:$J$2003,'العهد والرحلات'!$B$4:$B$2003,$B92))</f>
        <v/>
      </c>
      <c r="G92" s="18">
        <f>IF($B92="","",SUMIFS('الإيصالات'!$C$4:$C$2003,'الإيصالات'!$B$4:$B$2003,$B92))</f>
        <v/>
      </c>
      <c r="H92" s="38" t="n"/>
      <c r="I92" s="18">
        <f>IF($B92="","",N($F92)+N($G92)+N($H92))</f>
        <v/>
      </c>
      <c r="J92" s="18">
        <f>IF($B92="","",N($E92)-N($I92))</f>
        <v/>
      </c>
    </row>
    <row r="93">
      <c r="A93" s="16">
        <f>IF($B93="","",COUNTA($B$4:$B93))</f>
        <v/>
      </c>
      <c r="B93" s="72" t="n"/>
      <c r="C93" s="18">
        <f>IF($B93="","",N($J92))</f>
        <v/>
      </c>
      <c r="D93" s="40" t="n"/>
      <c r="E93" s="18">
        <f>IF($B93="","",N($C93)+N($D93))</f>
        <v/>
      </c>
      <c r="F93" s="18">
        <f>IF($B93="","",SUMIFS('العهد والرحلات'!$J$4:$J$2003,'العهد والرحلات'!$B$4:$B$2003,$B93))</f>
        <v/>
      </c>
      <c r="G93" s="18">
        <f>IF($B93="","",SUMIFS('الإيصالات'!$C$4:$C$2003,'الإيصالات'!$B$4:$B$2003,$B93))</f>
        <v/>
      </c>
      <c r="H93" s="40" t="n"/>
      <c r="I93" s="18">
        <f>IF($B93="","",N($F93)+N($G93)+N($H93))</f>
        <v/>
      </c>
      <c r="J93" s="18">
        <f>IF($B93="","",N($E93)-N($I93))</f>
        <v/>
      </c>
    </row>
    <row r="94">
      <c r="A94" s="16">
        <f>IF($B94="","",COUNTA($B$4:$B94))</f>
        <v/>
      </c>
      <c r="B94" s="71" t="n"/>
      <c r="C94" s="18">
        <f>IF($B94="","",N($J93))</f>
        <v/>
      </c>
      <c r="D94" s="38" t="n"/>
      <c r="E94" s="18">
        <f>IF($B94="","",N($C94)+N($D94))</f>
        <v/>
      </c>
      <c r="F94" s="18">
        <f>IF($B94="","",SUMIFS('العهد والرحلات'!$J$4:$J$2003,'العهد والرحلات'!$B$4:$B$2003,$B94))</f>
        <v/>
      </c>
      <c r="G94" s="18">
        <f>IF($B94="","",SUMIFS('الإيصالات'!$C$4:$C$2003,'الإيصالات'!$B$4:$B$2003,$B94))</f>
        <v/>
      </c>
      <c r="H94" s="38" t="n"/>
      <c r="I94" s="18">
        <f>IF($B94="","",N($F94)+N($G94)+N($H94))</f>
        <v/>
      </c>
      <c r="J94" s="18">
        <f>IF($B94="","",N($E94)-N($I94))</f>
        <v/>
      </c>
    </row>
    <row r="95">
      <c r="A95" s="16">
        <f>IF($B95="","",COUNTA($B$4:$B95))</f>
        <v/>
      </c>
      <c r="B95" s="72" t="n"/>
      <c r="C95" s="18">
        <f>IF($B95="","",N($J94))</f>
        <v/>
      </c>
      <c r="D95" s="40" t="n"/>
      <c r="E95" s="18">
        <f>IF($B95="","",N($C95)+N($D95))</f>
        <v/>
      </c>
      <c r="F95" s="18">
        <f>IF($B95="","",SUMIFS('العهد والرحلات'!$J$4:$J$2003,'العهد والرحلات'!$B$4:$B$2003,$B95))</f>
        <v/>
      </c>
      <c r="G95" s="18">
        <f>IF($B95="","",SUMIFS('الإيصالات'!$C$4:$C$2003,'الإيصالات'!$B$4:$B$2003,$B95))</f>
        <v/>
      </c>
      <c r="H95" s="40" t="n"/>
      <c r="I95" s="18">
        <f>IF($B95="","",N($F95)+N($G95)+N($H95))</f>
        <v/>
      </c>
      <c r="J95" s="18">
        <f>IF($B95="","",N($E95)-N($I95))</f>
        <v/>
      </c>
    </row>
    <row r="96">
      <c r="A96" s="16">
        <f>IF($B96="","",COUNTA($B$4:$B96))</f>
        <v/>
      </c>
      <c r="B96" s="71" t="n"/>
      <c r="C96" s="18">
        <f>IF($B96="","",N($J95))</f>
        <v/>
      </c>
      <c r="D96" s="38" t="n"/>
      <c r="E96" s="18">
        <f>IF($B96="","",N($C96)+N($D96))</f>
        <v/>
      </c>
      <c r="F96" s="18">
        <f>IF($B96="","",SUMIFS('العهد والرحلات'!$J$4:$J$2003,'العهد والرحلات'!$B$4:$B$2003,$B96))</f>
        <v/>
      </c>
      <c r="G96" s="18">
        <f>IF($B96="","",SUMIFS('الإيصالات'!$C$4:$C$2003,'الإيصالات'!$B$4:$B$2003,$B96))</f>
        <v/>
      </c>
      <c r="H96" s="38" t="n"/>
      <c r="I96" s="18">
        <f>IF($B96="","",N($F96)+N($G96)+N($H96))</f>
        <v/>
      </c>
      <c r="J96" s="18">
        <f>IF($B96="","",N($E96)-N($I96))</f>
        <v/>
      </c>
    </row>
    <row r="97">
      <c r="A97" s="16">
        <f>IF($B97="","",COUNTA($B$4:$B97))</f>
        <v/>
      </c>
      <c r="B97" s="72" t="n"/>
      <c r="C97" s="18">
        <f>IF($B97="","",N($J96))</f>
        <v/>
      </c>
      <c r="D97" s="40" t="n"/>
      <c r="E97" s="18">
        <f>IF($B97="","",N($C97)+N($D97))</f>
        <v/>
      </c>
      <c r="F97" s="18">
        <f>IF($B97="","",SUMIFS('العهد والرحلات'!$J$4:$J$2003,'العهد والرحلات'!$B$4:$B$2003,$B97))</f>
        <v/>
      </c>
      <c r="G97" s="18">
        <f>IF($B97="","",SUMIFS('الإيصالات'!$C$4:$C$2003,'الإيصالات'!$B$4:$B$2003,$B97))</f>
        <v/>
      </c>
      <c r="H97" s="40" t="n"/>
      <c r="I97" s="18">
        <f>IF($B97="","",N($F97)+N($G97)+N($H97))</f>
        <v/>
      </c>
      <c r="J97" s="18">
        <f>IF($B97="","",N($E97)-N($I97))</f>
        <v/>
      </c>
    </row>
    <row r="98">
      <c r="A98" s="16">
        <f>IF($B98="","",COUNTA($B$4:$B98))</f>
        <v/>
      </c>
      <c r="B98" s="71" t="n"/>
      <c r="C98" s="18">
        <f>IF($B98="","",N($J97))</f>
        <v/>
      </c>
      <c r="D98" s="38" t="n"/>
      <c r="E98" s="18">
        <f>IF($B98="","",N($C98)+N($D98))</f>
        <v/>
      </c>
      <c r="F98" s="18">
        <f>IF($B98="","",SUMIFS('العهد والرحلات'!$J$4:$J$2003,'العهد والرحلات'!$B$4:$B$2003,$B98))</f>
        <v/>
      </c>
      <c r="G98" s="18">
        <f>IF($B98="","",SUMIFS('الإيصالات'!$C$4:$C$2003,'الإيصالات'!$B$4:$B$2003,$B98))</f>
        <v/>
      </c>
      <c r="H98" s="38" t="n"/>
      <c r="I98" s="18">
        <f>IF($B98="","",N($F98)+N($G98)+N($H98))</f>
        <v/>
      </c>
      <c r="J98" s="18">
        <f>IF($B98="","",N($E98)-N($I98))</f>
        <v/>
      </c>
    </row>
    <row r="99">
      <c r="A99" s="16">
        <f>IF($B99="","",COUNTA($B$4:$B99))</f>
        <v/>
      </c>
      <c r="B99" s="72" t="n"/>
      <c r="C99" s="18">
        <f>IF($B99="","",N($J98))</f>
        <v/>
      </c>
      <c r="D99" s="40" t="n"/>
      <c r="E99" s="18">
        <f>IF($B99="","",N($C99)+N($D99))</f>
        <v/>
      </c>
      <c r="F99" s="18">
        <f>IF($B99="","",SUMIFS('العهد والرحلات'!$J$4:$J$2003,'العهد والرحلات'!$B$4:$B$2003,$B99))</f>
        <v/>
      </c>
      <c r="G99" s="18">
        <f>IF($B99="","",SUMIFS('الإيصالات'!$C$4:$C$2003,'الإيصالات'!$B$4:$B$2003,$B99))</f>
        <v/>
      </c>
      <c r="H99" s="40" t="n"/>
      <c r="I99" s="18">
        <f>IF($B99="","",N($F99)+N($G99)+N($H99))</f>
        <v/>
      </c>
      <c r="J99" s="18">
        <f>IF($B99="","",N($E99)-N($I99))</f>
        <v/>
      </c>
    </row>
    <row r="100">
      <c r="A100" s="16">
        <f>IF($B100="","",COUNTA($B$4:$B100))</f>
        <v/>
      </c>
      <c r="B100" s="71" t="n"/>
      <c r="C100" s="18">
        <f>IF($B100="","",N($J99))</f>
        <v/>
      </c>
      <c r="D100" s="38" t="n"/>
      <c r="E100" s="18">
        <f>IF($B100="","",N($C100)+N($D100))</f>
        <v/>
      </c>
      <c r="F100" s="18">
        <f>IF($B100="","",SUMIFS('العهد والرحلات'!$J$4:$J$2003,'العهد والرحلات'!$B$4:$B$2003,$B100))</f>
        <v/>
      </c>
      <c r="G100" s="18">
        <f>IF($B100="","",SUMIFS('الإيصالات'!$C$4:$C$2003,'الإيصالات'!$B$4:$B$2003,$B100))</f>
        <v/>
      </c>
      <c r="H100" s="38" t="n"/>
      <c r="I100" s="18">
        <f>IF($B100="","",N($F100)+N($G100)+N($H100))</f>
        <v/>
      </c>
      <c r="J100" s="18">
        <f>IF($B100="","",N($E100)-N($I100))</f>
        <v/>
      </c>
    </row>
    <row r="101">
      <c r="A101" s="16">
        <f>IF($B101="","",COUNTA($B$4:$B101))</f>
        <v/>
      </c>
      <c r="B101" s="72" t="n"/>
      <c r="C101" s="18">
        <f>IF($B101="","",N($J100))</f>
        <v/>
      </c>
      <c r="D101" s="40" t="n"/>
      <c r="E101" s="18">
        <f>IF($B101="","",N($C101)+N($D101))</f>
        <v/>
      </c>
      <c r="F101" s="18">
        <f>IF($B101="","",SUMIFS('العهد والرحلات'!$J$4:$J$2003,'العهد والرحلات'!$B$4:$B$2003,$B101))</f>
        <v/>
      </c>
      <c r="G101" s="18">
        <f>IF($B101="","",SUMIFS('الإيصالات'!$C$4:$C$2003,'الإيصالات'!$B$4:$B$2003,$B101))</f>
        <v/>
      </c>
      <c r="H101" s="40" t="n"/>
      <c r="I101" s="18">
        <f>IF($B101="","",N($F101)+N($G101)+N($H101))</f>
        <v/>
      </c>
      <c r="J101" s="18">
        <f>IF($B101="","",N($E101)-N($I101))</f>
        <v/>
      </c>
    </row>
    <row r="102">
      <c r="A102" s="16">
        <f>IF($B102="","",COUNTA($B$4:$B102))</f>
        <v/>
      </c>
      <c r="B102" s="71" t="n"/>
      <c r="C102" s="18">
        <f>IF($B102="","",N($J101))</f>
        <v/>
      </c>
      <c r="D102" s="38" t="n"/>
      <c r="E102" s="18">
        <f>IF($B102="","",N($C102)+N($D102))</f>
        <v/>
      </c>
      <c r="F102" s="18">
        <f>IF($B102="","",SUMIFS('العهد والرحلات'!$J$4:$J$2003,'العهد والرحلات'!$B$4:$B$2003,$B102))</f>
        <v/>
      </c>
      <c r="G102" s="18">
        <f>IF($B102="","",SUMIFS('الإيصالات'!$C$4:$C$2003,'الإيصالات'!$B$4:$B$2003,$B102))</f>
        <v/>
      </c>
      <c r="H102" s="38" t="n"/>
      <c r="I102" s="18">
        <f>IF($B102="","",N($F102)+N($G102)+N($H102))</f>
        <v/>
      </c>
      <c r="J102" s="18">
        <f>IF($B102="","",N($E102)-N($I102))</f>
        <v/>
      </c>
    </row>
    <row r="103">
      <c r="A103" s="16">
        <f>IF($B103="","",COUNTA($B$4:$B103))</f>
        <v/>
      </c>
      <c r="B103" s="72" t="n"/>
      <c r="C103" s="18">
        <f>IF($B103="","",N($J102))</f>
        <v/>
      </c>
      <c r="D103" s="40" t="n"/>
      <c r="E103" s="18">
        <f>IF($B103="","",N($C103)+N($D103))</f>
        <v/>
      </c>
      <c r="F103" s="18">
        <f>IF($B103="","",SUMIFS('العهد والرحلات'!$J$4:$J$2003,'العهد والرحلات'!$B$4:$B$2003,$B103))</f>
        <v/>
      </c>
      <c r="G103" s="18">
        <f>IF($B103="","",SUMIFS('الإيصالات'!$C$4:$C$2003,'الإيصالات'!$B$4:$B$2003,$B103))</f>
        <v/>
      </c>
      <c r="H103" s="40" t="n"/>
      <c r="I103" s="18">
        <f>IF($B103="","",N($F103)+N($G103)+N($H103))</f>
        <v/>
      </c>
      <c r="J103" s="18">
        <f>IF($B103="","",N($E103)-N($I103))</f>
        <v/>
      </c>
    </row>
    <row r="104">
      <c r="A104" s="16">
        <f>IF($B104="","",COUNTA($B$4:$B104))</f>
        <v/>
      </c>
      <c r="B104" s="71" t="n"/>
      <c r="C104" s="18">
        <f>IF($B104="","",N($J103))</f>
        <v/>
      </c>
      <c r="D104" s="38" t="n"/>
      <c r="E104" s="18">
        <f>IF($B104="","",N($C104)+N($D104))</f>
        <v/>
      </c>
      <c r="F104" s="18">
        <f>IF($B104="","",SUMIFS('العهد والرحلات'!$J$4:$J$2003,'العهد والرحلات'!$B$4:$B$2003,$B104))</f>
        <v/>
      </c>
      <c r="G104" s="18">
        <f>IF($B104="","",SUMIFS('الإيصالات'!$C$4:$C$2003,'الإيصالات'!$B$4:$B$2003,$B104))</f>
        <v/>
      </c>
      <c r="H104" s="38" t="n"/>
      <c r="I104" s="18">
        <f>IF($B104="","",N($F104)+N($G104)+N($H104))</f>
        <v/>
      </c>
      <c r="J104" s="18">
        <f>IF($B104="","",N($E104)-N($I104))</f>
        <v/>
      </c>
    </row>
    <row r="105">
      <c r="A105" s="16">
        <f>IF($B105="","",COUNTA($B$4:$B105))</f>
        <v/>
      </c>
      <c r="B105" s="72" t="n"/>
      <c r="C105" s="18">
        <f>IF($B105="","",N($J104))</f>
        <v/>
      </c>
      <c r="D105" s="40" t="n"/>
      <c r="E105" s="18">
        <f>IF($B105="","",N($C105)+N($D105))</f>
        <v/>
      </c>
      <c r="F105" s="18">
        <f>IF($B105="","",SUMIFS('العهد والرحلات'!$J$4:$J$2003,'العهد والرحلات'!$B$4:$B$2003,$B105))</f>
        <v/>
      </c>
      <c r="G105" s="18">
        <f>IF($B105="","",SUMIFS('الإيصالات'!$C$4:$C$2003,'الإيصالات'!$B$4:$B$2003,$B105))</f>
        <v/>
      </c>
      <c r="H105" s="40" t="n"/>
      <c r="I105" s="18">
        <f>IF($B105="","",N($F105)+N($G105)+N($H105))</f>
        <v/>
      </c>
      <c r="J105" s="18">
        <f>IF($B105="","",N($E105)-N($I105))</f>
        <v/>
      </c>
    </row>
    <row r="106">
      <c r="A106" s="16">
        <f>IF($B106="","",COUNTA($B$4:$B106))</f>
        <v/>
      </c>
      <c r="B106" s="71" t="n"/>
      <c r="C106" s="18">
        <f>IF($B106="","",N($J105))</f>
        <v/>
      </c>
      <c r="D106" s="38" t="n"/>
      <c r="E106" s="18">
        <f>IF($B106="","",N($C106)+N($D106))</f>
        <v/>
      </c>
      <c r="F106" s="18">
        <f>IF($B106="","",SUMIFS('العهد والرحلات'!$J$4:$J$2003,'العهد والرحلات'!$B$4:$B$2003,$B106))</f>
        <v/>
      </c>
      <c r="G106" s="18">
        <f>IF($B106="","",SUMIFS('الإيصالات'!$C$4:$C$2003,'الإيصالات'!$B$4:$B$2003,$B106))</f>
        <v/>
      </c>
      <c r="H106" s="38" t="n"/>
      <c r="I106" s="18">
        <f>IF($B106="","",N($F106)+N($G106)+N($H106))</f>
        <v/>
      </c>
      <c r="J106" s="18">
        <f>IF($B106="","",N($E106)-N($I106))</f>
        <v/>
      </c>
    </row>
    <row r="107">
      <c r="A107" s="16">
        <f>IF($B107="","",COUNTA($B$4:$B107))</f>
        <v/>
      </c>
      <c r="B107" s="72" t="n"/>
      <c r="C107" s="18">
        <f>IF($B107="","",N($J106))</f>
        <v/>
      </c>
      <c r="D107" s="40" t="n"/>
      <c r="E107" s="18">
        <f>IF($B107="","",N($C107)+N($D107))</f>
        <v/>
      </c>
      <c r="F107" s="18">
        <f>IF($B107="","",SUMIFS('العهد والرحلات'!$J$4:$J$2003,'العهد والرحلات'!$B$4:$B$2003,$B107))</f>
        <v/>
      </c>
      <c r="G107" s="18">
        <f>IF($B107="","",SUMIFS('الإيصالات'!$C$4:$C$2003,'الإيصالات'!$B$4:$B$2003,$B107))</f>
        <v/>
      </c>
      <c r="H107" s="40" t="n"/>
      <c r="I107" s="18">
        <f>IF($B107="","",N($F107)+N($G107)+N($H107))</f>
        <v/>
      </c>
      <c r="J107" s="18">
        <f>IF($B107="","",N($E107)-N($I107))</f>
        <v/>
      </c>
    </row>
    <row r="108">
      <c r="A108" s="16">
        <f>IF($B108="","",COUNTA($B$4:$B108))</f>
        <v/>
      </c>
      <c r="B108" s="71" t="n"/>
      <c r="C108" s="18">
        <f>IF($B108="","",N($J107))</f>
        <v/>
      </c>
      <c r="D108" s="38" t="n"/>
      <c r="E108" s="18">
        <f>IF($B108="","",N($C108)+N($D108))</f>
        <v/>
      </c>
      <c r="F108" s="18">
        <f>IF($B108="","",SUMIFS('العهد والرحلات'!$J$4:$J$2003,'العهد والرحلات'!$B$4:$B$2003,$B108))</f>
        <v/>
      </c>
      <c r="G108" s="18">
        <f>IF($B108="","",SUMIFS('الإيصالات'!$C$4:$C$2003,'الإيصالات'!$B$4:$B$2003,$B108))</f>
        <v/>
      </c>
      <c r="H108" s="38" t="n"/>
      <c r="I108" s="18">
        <f>IF($B108="","",N($F108)+N($G108)+N($H108))</f>
        <v/>
      </c>
      <c r="J108" s="18">
        <f>IF($B108="","",N($E108)-N($I108))</f>
        <v/>
      </c>
    </row>
    <row r="109">
      <c r="A109" s="16">
        <f>IF($B109="","",COUNTA($B$4:$B109))</f>
        <v/>
      </c>
      <c r="B109" s="72" t="n"/>
      <c r="C109" s="18">
        <f>IF($B109="","",N($J108))</f>
        <v/>
      </c>
      <c r="D109" s="40" t="n"/>
      <c r="E109" s="18">
        <f>IF($B109="","",N($C109)+N($D109))</f>
        <v/>
      </c>
      <c r="F109" s="18">
        <f>IF($B109="","",SUMIFS('العهد والرحلات'!$J$4:$J$2003,'العهد والرحلات'!$B$4:$B$2003,$B109))</f>
        <v/>
      </c>
      <c r="G109" s="18">
        <f>IF($B109="","",SUMIFS('الإيصالات'!$C$4:$C$2003,'الإيصالات'!$B$4:$B$2003,$B109))</f>
        <v/>
      </c>
      <c r="H109" s="40" t="n"/>
      <c r="I109" s="18">
        <f>IF($B109="","",N($F109)+N($G109)+N($H109))</f>
        <v/>
      </c>
      <c r="J109" s="18">
        <f>IF($B109="","",N($E109)-N($I109))</f>
        <v/>
      </c>
    </row>
    <row r="110">
      <c r="A110" s="16">
        <f>IF($B110="","",COUNTA($B$4:$B110))</f>
        <v/>
      </c>
      <c r="B110" s="71" t="n"/>
      <c r="C110" s="18">
        <f>IF($B110="","",N($J109))</f>
        <v/>
      </c>
      <c r="D110" s="38" t="n"/>
      <c r="E110" s="18">
        <f>IF($B110="","",N($C110)+N($D110))</f>
        <v/>
      </c>
      <c r="F110" s="18">
        <f>IF($B110="","",SUMIFS('العهد والرحلات'!$J$4:$J$2003,'العهد والرحلات'!$B$4:$B$2003,$B110))</f>
        <v/>
      </c>
      <c r="G110" s="18">
        <f>IF($B110="","",SUMIFS('الإيصالات'!$C$4:$C$2003,'الإيصالات'!$B$4:$B$2003,$B110))</f>
        <v/>
      </c>
      <c r="H110" s="38" t="n"/>
      <c r="I110" s="18">
        <f>IF($B110="","",N($F110)+N($G110)+N($H110))</f>
        <v/>
      </c>
      <c r="J110" s="18">
        <f>IF($B110="","",N($E110)-N($I110))</f>
        <v/>
      </c>
    </row>
    <row r="111">
      <c r="A111" s="16">
        <f>IF($B111="","",COUNTA($B$4:$B111))</f>
        <v/>
      </c>
      <c r="B111" s="72" t="n"/>
      <c r="C111" s="18">
        <f>IF($B111="","",N($J110))</f>
        <v/>
      </c>
      <c r="D111" s="40" t="n"/>
      <c r="E111" s="18">
        <f>IF($B111="","",N($C111)+N($D111))</f>
        <v/>
      </c>
      <c r="F111" s="18">
        <f>IF($B111="","",SUMIFS('العهد والرحلات'!$J$4:$J$2003,'العهد والرحلات'!$B$4:$B$2003,$B111))</f>
        <v/>
      </c>
      <c r="G111" s="18">
        <f>IF($B111="","",SUMIFS('الإيصالات'!$C$4:$C$2003,'الإيصالات'!$B$4:$B$2003,$B111))</f>
        <v/>
      </c>
      <c r="H111" s="40" t="n"/>
      <c r="I111" s="18">
        <f>IF($B111="","",N($F111)+N($G111)+N($H111))</f>
        <v/>
      </c>
      <c r="J111" s="18">
        <f>IF($B111="","",N($E111)-N($I111))</f>
        <v/>
      </c>
    </row>
    <row r="112">
      <c r="A112" s="16">
        <f>IF($B112="","",COUNTA($B$4:$B112))</f>
        <v/>
      </c>
      <c r="B112" s="71" t="n"/>
      <c r="C112" s="18">
        <f>IF($B112="","",N($J111))</f>
        <v/>
      </c>
      <c r="D112" s="38" t="n"/>
      <c r="E112" s="18">
        <f>IF($B112="","",N($C112)+N($D112))</f>
        <v/>
      </c>
      <c r="F112" s="18">
        <f>IF($B112="","",SUMIFS('العهد والرحلات'!$J$4:$J$2003,'العهد والرحلات'!$B$4:$B$2003,$B112))</f>
        <v/>
      </c>
      <c r="G112" s="18">
        <f>IF($B112="","",SUMIFS('الإيصالات'!$C$4:$C$2003,'الإيصالات'!$B$4:$B$2003,$B112))</f>
        <v/>
      </c>
      <c r="H112" s="38" t="n"/>
      <c r="I112" s="18">
        <f>IF($B112="","",N($F112)+N($G112)+N($H112))</f>
        <v/>
      </c>
      <c r="J112" s="18">
        <f>IF($B112="","",N($E112)-N($I112))</f>
        <v/>
      </c>
    </row>
    <row r="113">
      <c r="A113" s="16">
        <f>IF($B113="","",COUNTA($B$4:$B113))</f>
        <v/>
      </c>
      <c r="B113" s="72" t="n"/>
      <c r="C113" s="18">
        <f>IF($B113="","",N($J112))</f>
        <v/>
      </c>
      <c r="D113" s="40" t="n"/>
      <c r="E113" s="18">
        <f>IF($B113="","",N($C113)+N($D113))</f>
        <v/>
      </c>
      <c r="F113" s="18">
        <f>IF($B113="","",SUMIFS('العهد والرحلات'!$J$4:$J$2003,'العهد والرحلات'!$B$4:$B$2003,$B113))</f>
        <v/>
      </c>
      <c r="G113" s="18">
        <f>IF($B113="","",SUMIFS('الإيصالات'!$C$4:$C$2003,'الإيصالات'!$B$4:$B$2003,$B113))</f>
        <v/>
      </c>
      <c r="H113" s="40" t="n"/>
      <c r="I113" s="18">
        <f>IF($B113="","",N($F113)+N($G113)+N($H113))</f>
        <v/>
      </c>
      <c r="J113" s="18">
        <f>IF($B113="","",N($E113)-N($I113))</f>
        <v/>
      </c>
    </row>
    <row r="114">
      <c r="A114" s="16">
        <f>IF($B114="","",COUNTA($B$4:$B114))</f>
        <v/>
      </c>
      <c r="B114" s="71" t="n"/>
      <c r="C114" s="18">
        <f>IF($B114="","",N($J113))</f>
        <v/>
      </c>
      <c r="D114" s="38" t="n"/>
      <c r="E114" s="18">
        <f>IF($B114="","",N($C114)+N($D114))</f>
        <v/>
      </c>
      <c r="F114" s="18">
        <f>IF($B114="","",SUMIFS('العهد والرحلات'!$J$4:$J$2003,'العهد والرحلات'!$B$4:$B$2003,$B114))</f>
        <v/>
      </c>
      <c r="G114" s="18">
        <f>IF($B114="","",SUMIFS('الإيصالات'!$C$4:$C$2003,'الإيصالات'!$B$4:$B$2003,$B114))</f>
        <v/>
      </c>
      <c r="H114" s="38" t="n"/>
      <c r="I114" s="18">
        <f>IF($B114="","",N($F114)+N($G114)+N($H114))</f>
        <v/>
      </c>
      <c r="J114" s="18">
        <f>IF($B114="","",N($E114)-N($I114))</f>
        <v/>
      </c>
    </row>
    <row r="115">
      <c r="A115" s="16">
        <f>IF($B115="","",COUNTA($B$4:$B115))</f>
        <v/>
      </c>
      <c r="B115" s="72" t="n"/>
      <c r="C115" s="18">
        <f>IF($B115="","",N($J114))</f>
        <v/>
      </c>
      <c r="D115" s="40" t="n"/>
      <c r="E115" s="18">
        <f>IF($B115="","",N($C115)+N($D115))</f>
        <v/>
      </c>
      <c r="F115" s="18">
        <f>IF($B115="","",SUMIFS('العهد والرحلات'!$J$4:$J$2003,'العهد والرحلات'!$B$4:$B$2003,$B115))</f>
        <v/>
      </c>
      <c r="G115" s="18">
        <f>IF($B115="","",SUMIFS('الإيصالات'!$C$4:$C$2003,'الإيصالات'!$B$4:$B$2003,$B115))</f>
        <v/>
      </c>
      <c r="H115" s="40" t="n"/>
      <c r="I115" s="18">
        <f>IF($B115="","",N($F115)+N($G115)+N($H115))</f>
        <v/>
      </c>
      <c r="J115" s="18">
        <f>IF($B115="","",N($E115)-N($I115))</f>
        <v/>
      </c>
    </row>
    <row r="116">
      <c r="A116" s="16">
        <f>IF($B116="","",COUNTA($B$4:$B116))</f>
        <v/>
      </c>
      <c r="B116" s="71" t="n"/>
      <c r="C116" s="18">
        <f>IF($B116="","",N($J115))</f>
        <v/>
      </c>
      <c r="D116" s="38" t="n"/>
      <c r="E116" s="18">
        <f>IF($B116="","",N($C116)+N($D116))</f>
        <v/>
      </c>
      <c r="F116" s="18">
        <f>IF($B116="","",SUMIFS('العهد والرحلات'!$J$4:$J$2003,'العهد والرحلات'!$B$4:$B$2003,$B116))</f>
        <v/>
      </c>
      <c r="G116" s="18">
        <f>IF($B116="","",SUMIFS('الإيصالات'!$C$4:$C$2003,'الإيصالات'!$B$4:$B$2003,$B116))</f>
        <v/>
      </c>
      <c r="H116" s="38" t="n"/>
      <c r="I116" s="18">
        <f>IF($B116="","",N($F116)+N($G116)+N($H116))</f>
        <v/>
      </c>
      <c r="J116" s="18">
        <f>IF($B116="","",N($E116)-N($I116))</f>
        <v/>
      </c>
    </row>
    <row r="117">
      <c r="A117" s="16">
        <f>IF($B117="","",COUNTA($B$4:$B117))</f>
        <v/>
      </c>
      <c r="B117" s="72" t="n"/>
      <c r="C117" s="18">
        <f>IF($B117="","",N($J116))</f>
        <v/>
      </c>
      <c r="D117" s="40" t="n"/>
      <c r="E117" s="18">
        <f>IF($B117="","",N($C117)+N($D117))</f>
        <v/>
      </c>
      <c r="F117" s="18">
        <f>IF($B117="","",SUMIFS('العهد والرحلات'!$J$4:$J$2003,'العهد والرحلات'!$B$4:$B$2003,$B117))</f>
        <v/>
      </c>
      <c r="G117" s="18">
        <f>IF($B117="","",SUMIFS('الإيصالات'!$C$4:$C$2003,'الإيصالات'!$B$4:$B$2003,$B117))</f>
        <v/>
      </c>
      <c r="H117" s="40" t="n"/>
      <c r="I117" s="18">
        <f>IF($B117="","",N($F117)+N($G117)+N($H117))</f>
        <v/>
      </c>
      <c r="J117" s="18">
        <f>IF($B117="","",N($E117)-N($I117))</f>
        <v/>
      </c>
    </row>
    <row r="118">
      <c r="A118" s="16">
        <f>IF($B118="","",COUNTA($B$4:$B118))</f>
        <v/>
      </c>
      <c r="B118" s="71" t="n"/>
      <c r="C118" s="18">
        <f>IF($B118="","",N($J117))</f>
        <v/>
      </c>
      <c r="D118" s="38" t="n"/>
      <c r="E118" s="18">
        <f>IF($B118="","",N($C118)+N($D118))</f>
        <v/>
      </c>
      <c r="F118" s="18">
        <f>IF($B118="","",SUMIFS('العهد والرحلات'!$J$4:$J$2003,'العهد والرحلات'!$B$4:$B$2003,$B118))</f>
        <v/>
      </c>
      <c r="G118" s="18">
        <f>IF($B118="","",SUMIFS('الإيصالات'!$C$4:$C$2003,'الإيصالات'!$B$4:$B$2003,$B118))</f>
        <v/>
      </c>
      <c r="H118" s="38" t="n"/>
      <c r="I118" s="18">
        <f>IF($B118="","",N($F118)+N($G118)+N($H118))</f>
        <v/>
      </c>
      <c r="J118" s="18">
        <f>IF($B118="","",N($E118)-N($I118))</f>
        <v/>
      </c>
    </row>
    <row r="119">
      <c r="A119" s="16">
        <f>IF($B119="","",COUNTA($B$4:$B119))</f>
        <v/>
      </c>
      <c r="B119" s="72" t="n"/>
      <c r="C119" s="18">
        <f>IF($B119="","",N($J118))</f>
        <v/>
      </c>
      <c r="D119" s="40" t="n"/>
      <c r="E119" s="18">
        <f>IF($B119="","",N($C119)+N($D119))</f>
        <v/>
      </c>
      <c r="F119" s="18">
        <f>IF($B119="","",SUMIFS('العهد والرحلات'!$J$4:$J$2003,'العهد والرحلات'!$B$4:$B$2003,$B119))</f>
        <v/>
      </c>
      <c r="G119" s="18">
        <f>IF($B119="","",SUMIFS('الإيصالات'!$C$4:$C$2003,'الإيصالات'!$B$4:$B$2003,$B119))</f>
        <v/>
      </c>
      <c r="H119" s="40" t="n"/>
      <c r="I119" s="18">
        <f>IF($B119="","",N($F119)+N($G119)+N($H119))</f>
        <v/>
      </c>
      <c r="J119" s="18">
        <f>IF($B119="","",N($E119)-N($I119))</f>
        <v/>
      </c>
    </row>
    <row r="120">
      <c r="A120" s="16">
        <f>IF($B120="","",COUNTA($B$4:$B120))</f>
        <v/>
      </c>
      <c r="B120" s="71" t="n"/>
      <c r="C120" s="18">
        <f>IF($B120="","",N($J119))</f>
        <v/>
      </c>
      <c r="D120" s="38" t="n"/>
      <c r="E120" s="18">
        <f>IF($B120="","",N($C120)+N($D120))</f>
        <v/>
      </c>
      <c r="F120" s="18">
        <f>IF($B120="","",SUMIFS('العهد والرحلات'!$J$4:$J$2003,'العهد والرحلات'!$B$4:$B$2003,$B120))</f>
        <v/>
      </c>
      <c r="G120" s="18">
        <f>IF($B120="","",SUMIFS('الإيصالات'!$C$4:$C$2003,'الإيصالات'!$B$4:$B$2003,$B120))</f>
        <v/>
      </c>
      <c r="H120" s="38" t="n"/>
      <c r="I120" s="18">
        <f>IF($B120="","",N($F120)+N($G120)+N($H120))</f>
        <v/>
      </c>
      <c r="J120" s="18">
        <f>IF($B120="","",N($E120)-N($I120))</f>
        <v/>
      </c>
    </row>
    <row r="121">
      <c r="A121" s="16">
        <f>IF($B121="","",COUNTA($B$4:$B121))</f>
        <v/>
      </c>
      <c r="B121" s="72" t="n"/>
      <c r="C121" s="18">
        <f>IF($B121="","",N($J120))</f>
        <v/>
      </c>
      <c r="D121" s="40" t="n"/>
      <c r="E121" s="18">
        <f>IF($B121="","",N($C121)+N($D121))</f>
        <v/>
      </c>
      <c r="F121" s="18">
        <f>IF($B121="","",SUMIFS('العهد والرحلات'!$J$4:$J$2003,'العهد والرحلات'!$B$4:$B$2003,$B121))</f>
        <v/>
      </c>
      <c r="G121" s="18">
        <f>IF($B121="","",SUMIFS('الإيصالات'!$C$4:$C$2003,'الإيصالات'!$B$4:$B$2003,$B121))</f>
        <v/>
      </c>
      <c r="H121" s="40" t="n"/>
      <c r="I121" s="18">
        <f>IF($B121="","",N($F121)+N($G121)+N($H121))</f>
        <v/>
      </c>
      <c r="J121" s="18">
        <f>IF($B121="","",N($E121)-N($I121))</f>
        <v/>
      </c>
    </row>
    <row r="122">
      <c r="A122" s="16">
        <f>IF($B122="","",COUNTA($B$4:$B122))</f>
        <v/>
      </c>
      <c r="B122" s="71" t="n"/>
      <c r="C122" s="18">
        <f>IF($B122="","",N($J121))</f>
        <v/>
      </c>
      <c r="D122" s="38" t="n"/>
      <c r="E122" s="18">
        <f>IF($B122="","",N($C122)+N($D122))</f>
        <v/>
      </c>
      <c r="F122" s="18">
        <f>IF($B122="","",SUMIFS('العهد والرحلات'!$J$4:$J$2003,'العهد والرحلات'!$B$4:$B$2003,$B122))</f>
        <v/>
      </c>
      <c r="G122" s="18">
        <f>IF($B122="","",SUMIFS('الإيصالات'!$C$4:$C$2003,'الإيصالات'!$B$4:$B$2003,$B122))</f>
        <v/>
      </c>
      <c r="H122" s="38" t="n"/>
      <c r="I122" s="18">
        <f>IF($B122="","",N($F122)+N($G122)+N($H122))</f>
        <v/>
      </c>
      <c r="J122" s="18">
        <f>IF($B122="","",N($E122)-N($I122))</f>
        <v/>
      </c>
    </row>
    <row r="123">
      <c r="A123" s="16">
        <f>IF($B123="","",COUNTA($B$4:$B123))</f>
        <v/>
      </c>
      <c r="B123" s="72" t="n"/>
      <c r="C123" s="18">
        <f>IF($B123="","",N($J122))</f>
        <v/>
      </c>
      <c r="D123" s="40" t="n"/>
      <c r="E123" s="18">
        <f>IF($B123="","",N($C123)+N($D123))</f>
        <v/>
      </c>
      <c r="F123" s="18">
        <f>IF($B123="","",SUMIFS('العهد والرحلات'!$J$4:$J$2003,'العهد والرحلات'!$B$4:$B$2003,$B123))</f>
        <v/>
      </c>
      <c r="G123" s="18">
        <f>IF($B123="","",SUMIFS('الإيصالات'!$C$4:$C$2003,'الإيصالات'!$B$4:$B$2003,$B123))</f>
        <v/>
      </c>
      <c r="H123" s="40" t="n"/>
      <c r="I123" s="18">
        <f>IF($B123="","",N($F123)+N($G123)+N($H123))</f>
        <v/>
      </c>
      <c r="J123" s="18">
        <f>IF($B123="","",N($E123)-N($I123))</f>
        <v/>
      </c>
    </row>
    <row r="124">
      <c r="A124" s="16">
        <f>IF($B124="","",COUNTA($B$4:$B124))</f>
        <v/>
      </c>
      <c r="B124" s="71" t="n"/>
      <c r="C124" s="18">
        <f>IF($B124="","",N($J123))</f>
        <v/>
      </c>
      <c r="D124" s="38" t="n"/>
      <c r="E124" s="18">
        <f>IF($B124="","",N($C124)+N($D124))</f>
        <v/>
      </c>
      <c r="F124" s="18">
        <f>IF($B124="","",SUMIFS('العهد والرحلات'!$J$4:$J$2003,'العهد والرحلات'!$B$4:$B$2003,$B124))</f>
        <v/>
      </c>
      <c r="G124" s="18">
        <f>IF($B124="","",SUMIFS('الإيصالات'!$C$4:$C$2003,'الإيصالات'!$B$4:$B$2003,$B124))</f>
        <v/>
      </c>
      <c r="H124" s="38" t="n"/>
      <c r="I124" s="18">
        <f>IF($B124="","",N($F124)+N($G124)+N($H124))</f>
        <v/>
      </c>
      <c r="J124" s="18">
        <f>IF($B124="","",N($E124)-N($I124))</f>
        <v/>
      </c>
    </row>
    <row r="125">
      <c r="A125" s="16">
        <f>IF($B125="","",COUNTA($B$4:$B125))</f>
        <v/>
      </c>
      <c r="B125" s="72" t="n"/>
      <c r="C125" s="18">
        <f>IF($B125="","",N($J124))</f>
        <v/>
      </c>
      <c r="D125" s="40" t="n"/>
      <c r="E125" s="18">
        <f>IF($B125="","",N($C125)+N($D125))</f>
        <v/>
      </c>
      <c r="F125" s="18">
        <f>IF($B125="","",SUMIFS('العهد والرحلات'!$J$4:$J$2003,'العهد والرحلات'!$B$4:$B$2003,$B125))</f>
        <v/>
      </c>
      <c r="G125" s="18">
        <f>IF($B125="","",SUMIFS('الإيصالات'!$C$4:$C$2003,'الإيصالات'!$B$4:$B$2003,$B125))</f>
        <v/>
      </c>
      <c r="H125" s="40" t="n"/>
      <c r="I125" s="18">
        <f>IF($B125="","",N($F125)+N($G125)+N($H125))</f>
        <v/>
      </c>
      <c r="J125" s="18">
        <f>IF($B125="","",N($E125)-N($I125))</f>
        <v/>
      </c>
    </row>
    <row r="126">
      <c r="A126" s="16">
        <f>IF($B126="","",COUNTA($B$4:$B126))</f>
        <v/>
      </c>
      <c r="B126" s="71" t="n"/>
      <c r="C126" s="18">
        <f>IF($B126="","",N($J125))</f>
        <v/>
      </c>
      <c r="D126" s="38" t="n"/>
      <c r="E126" s="18">
        <f>IF($B126="","",N($C126)+N($D126))</f>
        <v/>
      </c>
      <c r="F126" s="18">
        <f>IF($B126="","",SUMIFS('العهد والرحلات'!$J$4:$J$2003,'العهد والرحلات'!$B$4:$B$2003,$B126))</f>
        <v/>
      </c>
      <c r="G126" s="18">
        <f>IF($B126="","",SUMIFS('الإيصالات'!$C$4:$C$2003,'الإيصالات'!$B$4:$B$2003,$B126))</f>
        <v/>
      </c>
      <c r="H126" s="38" t="n"/>
      <c r="I126" s="18">
        <f>IF($B126="","",N($F126)+N($G126)+N($H126))</f>
        <v/>
      </c>
      <c r="J126" s="18">
        <f>IF($B126="","",N($E126)-N($I126))</f>
        <v/>
      </c>
    </row>
    <row r="127">
      <c r="A127" s="16">
        <f>IF($B127="","",COUNTA($B$4:$B127))</f>
        <v/>
      </c>
      <c r="B127" s="72" t="n"/>
      <c r="C127" s="18">
        <f>IF($B127="","",N($J126))</f>
        <v/>
      </c>
      <c r="D127" s="40" t="n"/>
      <c r="E127" s="18">
        <f>IF($B127="","",N($C127)+N($D127))</f>
        <v/>
      </c>
      <c r="F127" s="18">
        <f>IF($B127="","",SUMIFS('العهد والرحلات'!$J$4:$J$2003,'العهد والرحلات'!$B$4:$B$2003,$B127))</f>
        <v/>
      </c>
      <c r="G127" s="18">
        <f>IF($B127="","",SUMIFS('الإيصالات'!$C$4:$C$2003,'الإيصالات'!$B$4:$B$2003,$B127))</f>
        <v/>
      </c>
      <c r="H127" s="40" t="n"/>
      <c r="I127" s="18">
        <f>IF($B127="","",N($F127)+N($G127)+N($H127))</f>
        <v/>
      </c>
      <c r="J127" s="18">
        <f>IF($B127="","",N($E127)-N($I127))</f>
        <v/>
      </c>
    </row>
    <row r="128">
      <c r="A128" s="16">
        <f>IF($B128="","",COUNTA($B$4:$B128))</f>
        <v/>
      </c>
      <c r="B128" s="71" t="n"/>
      <c r="C128" s="18">
        <f>IF($B128="","",N($J127))</f>
        <v/>
      </c>
      <c r="D128" s="38" t="n"/>
      <c r="E128" s="18">
        <f>IF($B128="","",N($C128)+N($D128))</f>
        <v/>
      </c>
      <c r="F128" s="18">
        <f>IF($B128="","",SUMIFS('العهد والرحلات'!$J$4:$J$2003,'العهد والرحلات'!$B$4:$B$2003,$B128))</f>
        <v/>
      </c>
      <c r="G128" s="18">
        <f>IF($B128="","",SUMIFS('الإيصالات'!$C$4:$C$2003,'الإيصالات'!$B$4:$B$2003,$B128))</f>
        <v/>
      </c>
      <c r="H128" s="38" t="n"/>
      <c r="I128" s="18">
        <f>IF($B128="","",N($F128)+N($G128)+N($H128))</f>
        <v/>
      </c>
      <c r="J128" s="18">
        <f>IF($B128="","",N($E128)-N($I128))</f>
        <v/>
      </c>
    </row>
    <row r="129">
      <c r="A129" s="16">
        <f>IF($B129="","",COUNTA($B$4:$B129))</f>
        <v/>
      </c>
      <c r="B129" s="72" t="n"/>
      <c r="C129" s="18">
        <f>IF($B129="","",N($J128))</f>
        <v/>
      </c>
      <c r="D129" s="40" t="n"/>
      <c r="E129" s="18">
        <f>IF($B129="","",N($C129)+N($D129))</f>
        <v/>
      </c>
      <c r="F129" s="18">
        <f>IF($B129="","",SUMIFS('العهد والرحلات'!$J$4:$J$2003,'العهد والرحلات'!$B$4:$B$2003,$B129))</f>
        <v/>
      </c>
      <c r="G129" s="18">
        <f>IF($B129="","",SUMIFS('الإيصالات'!$C$4:$C$2003,'الإيصالات'!$B$4:$B$2003,$B129))</f>
        <v/>
      </c>
      <c r="H129" s="40" t="n"/>
      <c r="I129" s="18">
        <f>IF($B129="","",N($F129)+N($G129)+N($H129))</f>
        <v/>
      </c>
      <c r="J129" s="18">
        <f>IF($B129="","",N($E129)-N($I129))</f>
        <v/>
      </c>
    </row>
    <row r="130">
      <c r="A130" s="16">
        <f>IF($B130="","",COUNTA($B$4:$B130))</f>
        <v/>
      </c>
      <c r="B130" s="71" t="n"/>
      <c r="C130" s="18">
        <f>IF($B130="","",N($J129))</f>
        <v/>
      </c>
      <c r="D130" s="38" t="n"/>
      <c r="E130" s="18">
        <f>IF($B130="","",N($C130)+N($D130))</f>
        <v/>
      </c>
      <c r="F130" s="18">
        <f>IF($B130="","",SUMIFS('العهد والرحلات'!$J$4:$J$2003,'العهد والرحلات'!$B$4:$B$2003,$B130))</f>
        <v/>
      </c>
      <c r="G130" s="18">
        <f>IF($B130="","",SUMIFS('الإيصالات'!$C$4:$C$2003,'الإيصالات'!$B$4:$B$2003,$B130))</f>
        <v/>
      </c>
      <c r="H130" s="38" t="n"/>
      <c r="I130" s="18">
        <f>IF($B130="","",N($F130)+N($G130)+N($H130))</f>
        <v/>
      </c>
      <c r="J130" s="18">
        <f>IF($B130="","",N($E130)-N($I130))</f>
        <v/>
      </c>
    </row>
    <row r="131">
      <c r="A131" s="16">
        <f>IF($B131="","",COUNTA($B$4:$B131))</f>
        <v/>
      </c>
      <c r="B131" s="72" t="n"/>
      <c r="C131" s="18">
        <f>IF($B131="","",N($J130))</f>
        <v/>
      </c>
      <c r="D131" s="40" t="n"/>
      <c r="E131" s="18">
        <f>IF($B131="","",N($C131)+N($D131))</f>
        <v/>
      </c>
      <c r="F131" s="18">
        <f>IF($B131="","",SUMIFS('العهد والرحلات'!$J$4:$J$2003,'العهد والرحلات'!$B$4:$B$2003,$B131))</f>
        <v/>
      </c>
      <c r="G131" s="18">
        <f>IF($B131="","",SUMIFS('الإيصالات'!$C$4:$C$2003,'الإيصالات'!$B$4:$B$2003,$B131))</f>
        <v/>
      </c>
      <c r="H131" s="40" t="n"/>
      <c r="I131" s="18">
        <f>IF($B131="","",N($F131)+N($G131)+N($H131))</f>
        <v/>
      </c>
      <c r="J131" s="18">
        <f>IF($B131="","",N($E131)-N($I131))</f>
        <v/>
      </c>
    </row>
    <row r="132">
      <c r="A132" s="16">
        <f>IF($B132="","",COUNTA($B$4:$B132))</f>
        <v/>
      </c>
      <c r="B132" s="71" t="n"/>
      <c r="C132" s="18">
        <f>IF($B132="","",N($J131))</f>
        <v/>
      </c>
      <c r="D132" s="38" t="n"/>
      <c r="E132" s="18">
        <f>IF($B132="","",N($C132)+N($D132))</f>
        <v/>
      </c>
      <c r="F132" s="18">
        <f>IF($B132="","",SUMIFS('العهد والرحلات'!$J$4:$J$2003,'العهد والرحلات'!$B$4:$B$2003,$B132))</f>
        <v/>
      </c>
      <c r="G132" s="18">
        <f>IF($B132="","",SUMIFS('الإيصالات'!$C$4:$C$2003,'الإيصالات'!$B$4:$B$2003,$B132))</f>
        <v/>
      </c>
      <c r="H132" s="38" t="n"/>
      <c r="I132" s="18">
        <f>IF($B132="","",N($F132)+N($G132)+N($H132))</f>
        <v/>
      </c>
      <c r="J132" s="18">
        <f>IF($B132="","",N($E132)-N($I132))</f>
        <v/>
      </c>
    </row>
    <row r="133">
      <c r="A133" s="16">
        <f>IF($B133="","",COUNTA($B$4:$B133))</f>
        <v/>
      </c>
      <c r="B133" s="72" t="n"/>
      <c r="C133" s="18">
        <f>IF($B133="","",N($J132))</f>
        <v/>
      </c>
      <c r="D133" s="40" t="n"/>
      <c r="E133" s="18">
        <f>IF($B133="","",N($C133)+N($D133))</f>
        <v/>
      </c>
      <c r="F133" s="18">
        <f>IF($B133="","",SUMIFS('العهد والرحلات'!$J$4:$J$2003,'العهد والرحلات'!$B$4:$B$2003,$B133))</f>
        <v/>
      </c>
      <c r="G133" s="18">
        <f>IF($B133="","",SUMIFS('الإيصالات'!$C$4:$C$2003,'الإيصالات'!$B$4:$B$2003,$B133))</f>
        <v/>
      </c>
      <c r="H133" s="40" t="n"/>
      <c r="I133" s="18">
        <f>IF($B133="","",N($F133)+N($G133)+N($H133))</f>
        <v/>
      </c>
      <c r="J133" s="18">
        <f>IF($B133="","",N($E133)-N($I133))</f>
        <v/>
      </c>
    </row>
    <row r="134">
      <c r="A134" s="16">
        <f>IF($B134="","",COUNTA($B$4:$B134))</f>
        <v/>
      </c>
      <c r="B134" s="71" t="n"/>
      <c r="C134" s="18">
        <f>IF($B134="","",N($J133))</f>
        <v/>
      </c>
      <c r="D134" s="38" t="n"/>
      <c r="E134" s="18">
        <f>IF($B134="","",N($C134)+N($D134))</f>
        <v/>
      </c>
      <c r="F134" s="18">
        <f>IF($B134="","",SUMIFS('العهد والرحلات'!$J$4:$J$2003,'العهد والرحلات'!$B$4:$B$2003,$B134))</f>
        <v/>
      </c>
      <c r="G134" s="18">
        <f>IF($B134="","",SUMIFS('الإيصالات'!$C$4:$C$2003,'الإيصالات'!$B$4:$B$2003,$B134))</f>
        <v/>
      </c>
      <c r="H134" s="38" t="n"/>
      <c r="I134" s="18">
        <f>IF($B134="","",N($F134)+N($G134)+N($H134))</f>
        <v/>
      </c>
      <c r="J134" s="18">
        <f>IF($B134="","",N($E134)-N($I134))</f>
        <v/>
      </c>
    </row>
    <row r="135">
      <c r="A135" s="16">
        <f>IF($B135="","",COUNTA($B$4:$B135))</f>
        <v/>
      </c>
      <c r="B135" s="72" t="n"/>
      <c r="C135" s="18">
        <f>IF($B135="","",N($J134))</f>
        <v/>
      </c>
      <c r="D135" s="40" t="n"/>
      <c r="E135" s="18">
        <f>IF($B135="","",N($C135)+N($D135))</f>
        <v/>
      </c>
      <c r="F135" s="18">
        <f>IF($B135="","",SUMIFS('العهد والرحلات'!$J$4:$J$2003,'العهد والرحلات'!$B$4:$B$2003,$B135))</f>
        <v/>
      </c>
      <c r="G135" s="18">
        <f>IF($B135="","",SUMIFS('الإيصالات'!$C$4:$C$2003,'الإيصالات'!$B$4:$B$2003,$B135))</f>
        <v/>
      </c>
      <c r="H135" s="40" t="n"/>
      <c r="I135" s="18">
        <f>IF($B135="","",N($F135)+N($G135)+N($H135))</f>
        <v/>
      </c>
      <c r="J135" s="18">
        <f>IF($B135="","",N($E135)-N($I135))</f>
        <v/>
      </c>
    </row>
    <row r="136">
      <c r="A136" s="16">
        <f>IF($B136="","",COUNTA($B$4:$B136))</f>
        <v/>
      </c>
      <c r="B136" s="71" t="n"/>
      <c r="C136" s="18">
        <f>IF($B136="","",N($J135))</f>
        <v/>
      </c>
      <c r="D136" s="38" t="n"/>
      <c r="E136" s="18">
        <f>IF($B136="","",N($C136)+N($D136))</f>
        <v/>
      </c>
      <c r="F136" s="18">
        <f>IF($B136="","",SUMIFS('العهد والرحلات'!$J$4:$J$2003,'العهد والرحلات'!$B$4:$B$2003,$B136))</f>
        <v/>
      </c>
      <c r="G136" s="18">
        <f>IF($B136="","",SUMIFS('الإيصالات'!$C$4:$C$2003,'الإيصالات'!$B$4:$B$2003,$B136))</f>
        <v/>
      </c>
      <c r="H136" s="38" t="n"/>
      <c r="I136" s="18">
        <f>IF($B136="","",N($F136)+N($G136)+N($H136))</f>
        <v/>
      </c>
      <c r="J136" s="18">
        <f>IF($B136="","",N($E136)-N($I136))</f>
        <v/>
      </c>
    </row>
    <row r="137">
      <c r="A137" s="16">
        <f>IF($B137="","",COUNTA($B$4:$B137))</f>
        <v/>
      </c>
      <c r="B137" s="72" t="n"/>
      <c r="C137" s="18">
        <f>IF($B137="","",N($J136))</f>
        <v/>
      </c>
      <c r="D137" s="40" t="n"/>
      <c r="E137" s="18">
        <f>IF($B137="","",N($C137)+N($D137))</f>
        <v/>
      </c>
      <c r="F137" s="18">
        <f>IF($B137="","",SUMIFS('العهد والرحلات'!$J$4:$J$2003,'العهد والرحلات'!$B$4:$B$2003,$B137))</f>
        <v/>
      </c>
      <c r="G137" s="18">
        <f>IF($B137="","",SUMIFS('الإيصالات'!$C$4:$C$2003,'الإيصالات'!$B$4:$B$2003,$B137))</f>
        <v/>
      </c>
      <c r="H137" s="40" t="n"/>
      <c r="I137" s="18">
        <f>IF($B137="","",N($F137)+N($G137)+N($H137))</f>
        <v/>
      </c>
      <c r="J137" s="18">
        <f>IF($B137="","",N($E137)-N($I137))</f>
        <v/>
      </c>
    </row>
    <row r="138">
      <c r="A138" s="16">
        <f>IF($B138="","",COUNTA($B$4:$B138))</f>
        <v/>
      </c>
      <c r="B138" s="71" t="n"/>
      <c r="C138" s="18">
        <f>IF($B138="","",N($J137))</f>
        <v/>
      </c>
      <c r="D138" s="38" t="n"/>
      <c r="E138" s="18">
        <f>IF($B138="","",N($C138)+N($D138))</f>
        <v/>
      </c>
      <c r="F138" s="18">
        <f>IF($B138="","",SUMIFS('العهد والرحلات'!$J$4:$J$2003,'العهد والرحلات'!$B$4:$B$2003,$B138))</f>
        <v/>
      </c>
      <c r="G138" s="18">
        <f>IF($B138="","",SUMIFS('الإيصالات'!$C$4:$C$2003,'الإيصالات'!$B$4:$B$2003,$B138))</f>
        <v/>
      </c>
      <c r="H138" s="38" t="n"/>
      <c r="I138" s="18">
        <f>IF($B138="","",N($F138)+N($G138)+N($H138))</f>
        <v/>
      </c>
      <c r="J138" s="18">
        <f>IF($B138="","",N($E138)-N($I138))</f>
        <v/>
      </c>
    </row>
    <row r="139">
      <c r="A139" s="16">
        <f>IF($B139="","",COUNTA($B$4:$B139))</f>
        <v/>
      </c>
      <c r="B139" s="72" t="n"/>
      <c r="C139" s="18">
        <f>IF($B139="","",N($J138))</f>
        <v/>
      </c>
      <c r="D139" s="40" t="n"/>
      <c r="E139" s="18">
        <f>IF($B139="","",N($C139)+N($D139))</f>
        <v/>
      </c>
      <c r="F139" s="18">
        <f>IF($B139="","",SUMIFS('العهد والرحلات'!$J$4:$J$2003,'العهد والرحلات'!$B$4:$B$2003,$B139))</f>
        <v/>
      </c>
      <c r="G139" s="18">
        <f>IF($B139="","",SUMIFS('الإيصالات'!$C$4:$C$2003,'الإيصالات'!$B$4:$B$2003,$B139))</f>
        <v/>
      </c>
      <c r="H139" s="40" t="n"/>
      <c r="I139" s="18">
        <f>IF($B139="","",N($F139)+N($G139)+N($H139))</f>
        <v/>
      </c>
      <c r="J139" s="18">
        <f>IF($B139="","",N($E139)-N($I139))</f>
        <v/>
      </c>
    </row>
    <row r="140">
      <c r="A140" s="16">
        <f>IF($B140="","",COUNTA($B$4:$B140))</f>
        <v/>
      </c>
      <c r="B140" s="71" t="n"/>
      <c r="C140" s="18">
        <f>IF($B140="","",N($J139))</f>
        <v/>
      </c>
      <c r="D140" s="38" t="n"/>
      <c r="E140" s="18">
        <f>IF($B140="","",N($C140)+N($D140))</f>
        <v/>
      </c>
      <c r="F140" s="18">
        <f>IF($B140="","",SUMIFS('العهد والرحلات'!$J$4:$J$2003,'العهد والرحلات'!$B$4:$B$2003,$B140))</f>
        <v/>
      </c>
      <c r="G140" s="18">
        <f>IF($B140="","",SUMIFS('الإيصالات'!$C$4:$C$2003,'الإيصالات'!$B$4:$B$2003,$B140))</f>
        <v/>
      </c>
      <c r="H140" s="38" t="n"/>
      <c r="I140" s="18">
        <f>IF($B140="","",N($F140)+N($G140)+N($H140))</f>
        <v/>
      </c>
      <c r="J140" s="18">
        <f>IF($B140="","",N($E140)-N($I140))</f>
        <v/>
      </c>
    </row>
    <row r="141">
      <c r="A141" s="16">
        <f>IF($B141="","",COUNTA($B$4:$B141))</f>
        <v/>
      </c>
      <c r="B141" s="72" t="n"/>
      <c r="C141" s="18">
        <f>IF($B141="","",N($J140))</f>
        <v/>
      </c>
      <c r="D141" s="40" t="n"/>
      <c r="E141" s="18">
        <f>IF($B141="","",N($C141)+N($D141))</f>
        <v/>
      </c>
      <c r="F141" s="18">
        <f>IF($B141="","",SUMIFS('العهد والرحلات'!$J$4:$J$2003,'العهد والرحلات'!$B$4:$B$2003,$B141))</f>
        <v/>
      </c>
      <c r="G141" s="18">
        <f>IF($B141="","",SUMIFS('الإيصالات'!$C$4:$C$2003,'الإيصالات'!$B$4:$B$2003,$B141))</f>
        <v/>
      </c>
      <c r="H141" s="40" t="n"/>
      <c r="I141" s="18">
        <f>IF($B141="","",N($F141)+N($G141)+N($H141))</f>
        <v/>
      </c>
      <c r="J141" s="18">
        <f>IF($B141="","",N($E141)-N($I141))</f>
        <v/>
      </c>
    </row>
    <row r="142">
      <c r="A142" s="16">
        <f>IF($B142="","",COUNTA($B$4:$B142))</f>
        <v/>
      </c>
      <c r="B142" s="71" t="n"/>
      <c r="C142" s="18">
        <f>IF($B142="","",N($J141))</f>
        <v/>
      </c>
      <c r="D142" s="38" t="n"/>
      <c r="E142" s="18">
        <f>IF($B142="","",N($C142)+N($D142))</f>
        <v/>
      </c>
      <c r="F142" s="18">
        <f>IF($B142="","",SUMIFS('العهد والرحلات'!$J$4:$J$2003,'العهد والرحلات'!$B$4:$B$2003,$B142))</f>
        <v/>
      </c>
      <c r="G142" s="18">
        <f>IF($B142="","",SUMIFS('الإيصالات'!$C$4:$C$2003,'الإيصالات'!$B$4:$B$2003,$B142))</f>
        <v/>
      </c>
      <c r="H142" s="38" t="n"/>
      <c r="I142" s="18">
        <f>IF($B142="","",N($F142)+N($G142)+N($H142))</f>
        <v/>
      </c>
      <c r="J142" s="18">
        <f>IF($B142="","",N($E142)-N($I142))</f>
        <v/>
      </c>
    </row>
    <row r="143">
      <c r="A143" s="16">
        <f>IF($B143="","",COUNTA($B$4:$B143))</f>
        <v/>
      </c>
      <c r="B143" s="72" t="n"/>
      <c r="C143" s="18">
        <f>IF($B143="","",N($J142))</f>
        <v/>
      </c>
      <c r="D143" s="40" t="n"/>
      <c r="E143" s="18">
        <f>IF($B143="","",N($C143)+N($D143))</f>
        <v/>
      </c>
      <c r="F143" s="18">
        <f>IF($B143="","",SUMIFS('العهد والرحلات'!$J$4:$J$2003,'العهد والرحلات'!$B$4:$B$2003,$B143))</f>
        <v/>
      </c>
      <c r="G143" s="18">
        <f>IF($B143="","",SUMIFS('الإيصالات'!$C$4:$C$2003,'الإيصالات'!$B$4:$B$2003,$B143))</f>
        <v/>
      </c>
      <c r="H143" s="40" t="n"/>
      <c r="I143" s="18">
        <f>IF($B143="","",N($F143)+N($G143)+N($H143))</f>
        <v/>
      </c>
      <c r="J143" s="18">
        <f>IF($B143="","",N($E143)-N($I143))</f>
        <v/>
      </c>
    </row>
    <row r="144">
      <c r="A144" s="16">
        <f>IF($B144="","",COUNTA($B$4:$B144))</f>
        <v/>
      </c>
      <c r="B144" s="71" t="n"/>
      <c r="C144" s="18">
        <f>IF($B144="","",N($J143))</f>
        <v/>
      </c>
      <c r="D144" s="38" t="n"/>
      <c r="E144" s="18">
        <f>IF($B144="","",N($C144)+N($D144))</f>
        <v/>
      </c>
      <c r="F144" s="18">
        <f>IF($B144="","",SUMIFS('العهد والرحلات'!$J$4:$J$2003,'العهد والرحلات'!$B$4:$B$2003,$B144))</f>
        <v/>
      </c>
      <c r="G144" s="18">
        <f>IF($B144="","",SUMIFS('الإيصالات'!$C$4:$C$2003,'الإيصالات'!$B$4:$B$2003,$B144))</f>
        <v/>
      </c>
      <c r="H144" s="38" t="n"/>
      <c r="I144" s="18">
        <f>IF($B144="","",N($F144)+N($G144)+N($H144))</f>
        <v/>
      </c>
      <c r="J144" s="18">
        <f>IF($B144="","",N($E144)-N($I144))</f>
        <v/>
      </c>
    </row>
    <row r="145">
      <c r="A145" s="16">
        <f>IF($B145="","",COUNTA($B$4:$B145))</f>
        <v/>
      </c>
      <c r="B145" s="72" t="n"/>
      <c r="C145" s="18">
        <f>IF($B145="","",N($J144))</f>
        <v/>
      </c>
      <c r="D145" s="40" t="n"/>
      <c r="E145" s="18">
        <f>IF($B145="","",N($C145)+N($D145))</f>
        <v/>
      </c>
      <c r="F145" s="18">
        <f>IF($B145="","",SUMIFS('العهد والرحلات'!$J$4:$J$2003,'العهد والرحلات'!$B$4:$B$2003,$B145))</f>
        <v/>
      </c>
      <c r="G145" s="18">
        <f>IF($B145="","",SUMIFS('الإيصالات'!$C$4:$C$2003,'الإيصالات'!$B$4:$B$2003,$B145))</f>
        <v/>
      </c>
      <c r="H145" s="40" t="n"/>
      <c r="I145" s="18">
        <f>IF($B145="","",N($F145)+N($G145)+N($H145))</f>
        <v/>
      </c>
      <c r="J145" s="18">
        <f>IF($B145="","",N($E145)-N($I145))</f>
        <v/>
      </c>
    </row>
    <row r="146">
      <c r="A146" s="16">
        <f>IF($B146="","",COUNTA($B$4:$B146))</f>
        <v/>
      </c>
      <c r="B146" s="71" t="n"/>
      <c r="C146" s="18">
        <f>IF($B146="","",N($J145))</f>
        <v/>
      </c>
      <c r="D146" s="38" t="n"/>
      <c r="E146" s="18">
        <f>IF($B146="","",N($C146)+N($D146))</f>
        <v/>
      </c>
      <c r="F146" s="18">
        <f>IF($B146="","",SUMIFS('العهد والرحلات'!$J$4:$J$2003,'العهد والرحلات'!$B$4:$B$2003,$B146))</f>
        <v/>
      </c>
      <c r="G146" s="18">
        <f>IF($B146="","",SUMIFS('الإيصالات'!$C$4:$C$2003,'الإيصالات'!$B$4:$B$2003,$B146))</f>
        <v/>
      </c>
      <c r="H146" s="38" t="n"/>
      <c r="I146" s="18">
        <f>IF($B146="","",N($F146)+N($G146)+N($H146))</f>
        <v/>
      </c>
      <c r="J146" s="18">
        <f>IF($B146="","",N($E146)-N($I146))</f>
        <v/>
      </c>
    </row>
    <row r="147">
      <c r="A147" s="16">
        <f>IF($B147="","",COUNTA($B$4:$B147))</f>
        <v/>
      </c>
      <c r="B147" s="72" t="n"/>
      <c r="C147" s="18">
        <f>IF($B147="","",N($J146))</f>
        <v/>
      </c>
      <c r="D147" s="40" t="n"/>
      <c r="E147" s="18">
        <f>IF($B147="","",N($C147)+N($D147))</f>
        <v/>
      </c>
      <c r="F147" s="18">
        <f>IF($B147="","",SUMIFS('العهد والرحلات'!$J$4:$J$2003,'العهد والرحلات'!$B$4:$B$2003,$B147))</f>
        <v/>
      </c>
      <c r="G147" s="18">
        <f>IF($B147="","",SUMIFS('الإيصالات'!$C$4:$C$2003,'الإيصالات'!$B$4:$B$2003,$B147))</f>
        <v/>
      </c>
      <c r="H147" s="40" t="n"/>
      <c r="I147" s="18">
        <f>IF($B147="","",N($F147)+N($G147)+N($H147))</f>
        <v/>
      </c>
      <c r="J147" s="18">
        <f>IF($B147="","",N($E147)-N($I147))</f>
        <v/>
      </c>
    </row>
    <row r="148">
      <c r="A148" s="16">
        <f>IF($B148="","",COUNTA($B$4:$B148))</f>
        <v/>
      </c>
      <c r="B148" s="71" t="n"/>
      <c r="C148" s="18">
        <f>IF($B148="","",N($J147))</f>
        <v/>
      </c>
      <c r="D148" s="38" t="n"/>
      <c r="E148" s="18">
        <f>IF($B148="","",N($C148)+N($D148))</f>
        <v/>
      </c>
      <c r="F148" s="18">
        <f>IF($B148="","",SUMIFS('العهد والرحلات'!$J$4:$J$2003,'العهد والرحلات'!$B$4:$B$2003,$B148))</f>
        <v/>
      </c>
      <c r="G148" s="18">
        <f>IF($B148="","",SUMIFS('الإيصالات'!$C$4:$C$2003,'الإيصالات'!$B$4:$B$2003,$B148))</f>
        <v/>
      </c>
      <c r="H148" s="38" t="n"/>
      <c r="I148" s="18">
        <f>IF($B148="","",N($F148)+N($G148)+N($H148))</f>
        <v/>
      </c>
      <c r="J148" s="18">
        <f>IF($B148="","",N($E148)-N($I148))</f>
        <v/>
      </c>
    </row>
    <row r="149">
      <c r="A149" s="16">
        <f>IF($B149="","",COUNTA($B$4:$B149))</f>
        <v/>
      </c>
      <c r="B149" s="72" t="n"/>
      <c r="C149" s="18">
        <f>IF($B149="","",N($J148))</f>
        <v/>
      </c>
      <c r="D149" s="40" t="n"/>
      <c r="E149" s="18">
        <f>IF($B149="","",N($C149)+N($D149))</f>
        <v/>
      </c>
      <c r="F149" s="18">
        <f>IF($B149="","",SUMIFS('العهد والرحلات'!$J$4:$J$2003,'العهد والرحلات'!$B$4:$B$2003,$B149))</f>
        <v/>
      </c>
      <c r="G149" s="18">
        <f>IF($B149="","",SUMIFS('الإيصالات'!$C$4:$C$2003,'الإيصالات'!$B$4:$B$2003,$B149))</f>
        <v/>
      </c>
      <c r="H149" s="40" t="n"/>
      <c r="I149" s="18">
        <f>IF($B149="","",N($F149)+N($G149)+N($H149))</f>
        <v/>
      </c>
      <c r="J149" s="18">
        <f>IF($B149="","",N($E149)-N($I149))</f>
        <v/>
      </c>
    </row>
    <row r="150">
      <c r="A150" s="16">
        <f>IF($B150="","",COUNTA($B$4:$B150))</f>
        <v/>
      </c>
      <c r="B150" s="71" t="n"/>
      <c r="C150" s="18">
        <f>IF($B150="","",N($J149))</f>
        <v/>
      </c>
      <c r="D150" s="38" t="n"/>
      <c r="E150" s="18">
        <f>IF($B150="","",N($C150)+N($D150))</f>
        <v/>
      </c>
      <c r="F150" s="18">
        <f>IF($B150="","",SUMIFS('العهد والرحلات'!$J$4:$J$2003,'العهد والرحلات'!$B$4:$B$2003,$B150))</f>
        <v/>
      </c>
      <c r="G150" s="18">
        <f>IF($B150="","",SUMIFS('الإيصالات'!$C$4:$C$2003,'الإيصالات'!$B$4:$B$2003,$B150))</f>
        <v/>
      </c>
      <c r="H150" s="38" t="n"/>
      <c r="I150" s="18">
        <f>IF($B150="","",N($F150)+N($G150)+N($H150))</f>
        <v/>
      </c>
      <c r="J150" s="18">
        <f>IF($B150="","",N($E150)-N($I150))</f>
        <v/>
      </c>
    </row>
    <row r="151">
      <c r="A151" s="16">
        <f>IF($B151="","",COUNTA($B$4:$B151))</f>
        <v/>
      </c>
      <c r="B151" s="72" t="n"/>
      <c r="C151" s="18">
        <f>IF($B151="","",N($J150))</f>
        <v/>
      </c>
      <c r="D151" s="40" t="n"/>
      <c r="E151" s="18">
        <f>IF($B151="","",N($C151)+N($D151))</f>
        <v/>
      </c>
      <c r="F151" s="18">
        <f>IF($B151="","",SUMIFS('العهد والرحلات'!$J$4:$J$2003,'العهد والرحلات'!$B$4:$B$2003,$B151))</f>
        <v/>
      </c>
      <c r="G151" s="18">
        <f>IF($B151="","",SUMIFS('الإيصالات'!$C$4:$C$2003,'الإيصالات'!$B$4:$B$2003,$B151))</f>
        <v/>
      </c>
      <c r="H151" s="40" t="n"/>
      <c r="I151" s="18">
        <f>IF($B151="","",N($F151)+N($G151)+N($H151))</f>
        <v/>
      </c>
      <c r="J151" s="18">
        <f>IF($B151="","",N($E151)-N($I151))</f>
        <v/>
      </c>
    </row>
    <row r="152">
      <c r="A152" s="16">
        <f>IF($B152="","",COUNTA($B$4:$B152))</f>
        <v/>
      </c>
      <c r="B152" s="71" t="n"/>
      <c r="C152" s="18">
        <f>IF($B152="","",N($J151))</f>
        <v/>
      </c>
      <c r="D152" s="38" t="n"/>
      <c r="E152" s="18">
        <f>IF($B152="","",N($C152)+N($D152))</f>
        <v/>
      </c>
      <c r="F152" s="18">
        <f>IF($B152="","",SUMIFS('العهد والرحلات'!$J$4:$J$2003,'العهد والرحلات'!$B$4:$B$2003,$B152))</f>
        <v/>
      </c>
      <c r="G152" s="18">
        <f>IF($B152="","",SUMIFS('الإيصالات'!$C$4:$C$2003,'الإيصالات'!$B$4:$B$2003,$B152))</f>
        <v/>
      </c>
      <c r="H152" s="38" t="n"/>
      <c r="I152" s="18">
        <f>IF($B152="","",N($F152)+N($G152)+N($H152))</f>
        <v/>
      </c>
      <c r="J152" s="18">
        <f>IF($B152="","",N($E152)-N($I152))</f>
        <v/>
      </c>
    </row>
    <row r="153">
      <c r="A153" s="16">
        <f>IF($B153="","",COUNTA($B$4:$B153))</f>
        <v/>
      </c>
      <c r="B153" s="72" t="n"/>
      <c r="C153" s="18">
        <f>IF($B153="","",N($J152))</f>
        <v/>
      </c>
      <c r="D153" s="40" t="n"/>
      <c r="E153" s="18">
        <f>IF($B153="","",N($C153)+N($D153))</f>
        <v/>
      </c>
      <c r="F153" s="18">
        <f>IF($B153="","",SUMIFS('العهد والرحلات'!$J$4:$J$2003,'العهد والرحلات'!$B$4:$B$2003,$B153))</f>
        <v/>
      </c>
      <c r="G153" s="18">
        <f>IF($B153="","",SUMIFS('الإيصالات'!$C$4:$C$2003,'الإيصالات'!$B$4:$B$2003,$B153))</f>
        <v/>
      </c>
      <c r="H153" s="40" t="n"/>
      <c r="I153" s="18">
        <f>IF($B153="","",N($F153)+N($G153)+N($H153))</f>
        <v/>
      </c>
      <c r="J153" s="18">
        <f>IF($B153="","",N($E153)-N($I153))</f>
        <v/>
      </c>
    </row>
    <row r="154">
      <c r="A154" s="16">
        <f>IF($B154="","",COUNTA($B$4:$B154))</f>
        <v/>
      </c>
      <c r="B154" s="71" t="n"/>
      <c r="C154" s="18">
        <f>IF($B154="","",N($J153))</f>
        <v/>
      </c>
      <c r="D154" s="38" t="n"/>
      <c r="E154" s="18">
        <f>IF($B154="","",N($C154)+N($D154))</f>
        <v/>
      </c>
      <c r="F154" s="18">
        <f>IF($B154="","",SUMIFS('العهد والرحلات'!$J$4:$J$2003,'العهد والرحلات'!$B$4:$B$2003,$B154))</f>
        <v/>
      </c>
      <c r="G154" s="18">
        <f>IF($B154="","",SUMIFS('الإيصالات'!$C$4:$C$2003,'الإيصالات'!$B$4:$B$2003,$B154))</f>
        <v/>
      </c>
      <c r="H154" s="38" t="n"/>
      <c r="I154" s="18">
        <f>IF($B154="","",N($F154)+N($G154)+N($H154))</f>
        <v/>
      </c>
      <c r="J154" s="18">
        <f>IF($B154="","",N($E154)-N($I154))</f>
        <v/>
      </c>
    </row>
    <row r="155">
      <c r="A155" s="16">
        <f>IF($B155="","",COUNTA($B$4:$B155))</f>
        <v/>
      </c>
      <c r="B155" s="72" t="n"/>
      <c r="C155" s="18">
        <f>IF($B155="","",N($J154))</f>
        <v/>
      </c>
      <c r="D155" s="40" t="n"/>
      <c r="E155" s="18">
        <f>IF($B155="","",N($C155)+N($D155))</f>
        <v/>
      </c>
      <c r="F155" s="18">
        <f>IF($B155="","",SUMIFS('العهد والرحلات'!$J$4:$J$2003,'العهد والرحلات'!$B$4:$B$2003,$B155))</f>
        <v/>
      </c>
      <c r="G155" s="18">
        <f>IF($B155="","",SUMIFS('الإيصالات'!$C$4:$C$2003,'الإيصالات'!$B$4:$B$2003,$B155))</f>
        <v/>
      </c>
      <c r="H155" s="40" t="n"/>
      <c r="I155" s="18">
        <f>IF($B155="","",N($F155)+N($G155)+N($H155))</f>
        <v/>
      </c>
      <c r="J155" s="18">
        <f>IF($B155="","",N($E155)-N($I155))</f>
        <v/>
      </c>
    </row>
    <row r="156">
      <c r="A156" s="16">
        <f>IF($B156="","",COUNTA($B$4:$B156))</f>
        <v/>
      </c>
      <c r="B156" s="71" t="n"/>
      <c r="C156" s="18">
        <f>IF($B156="","",N($J155))</f>
        <v/>
      </c>
      <c r="D156" s="38" t="n"/>
      <c r="E156" s="18">
        <f>IF($B156="","",N($C156)+N($D156))</f>
        <v/>
      </c>
      <c r="F156" s="18">
        <f>IF($B156="","",SUMIFS('العهد والرحلات'!$J$4:$J$2003,'العهد والرحلات'!$B$4:$B$2003,$B156))</f>
        <v/>
      </c>
      <c r="G156" s="18">
        <f>IF($B156="","",SUMIFS('الإيصالات'!$C$4:$C$2003,'الإيصالات'!$B$4:$B$2003,$B156))</f>
        <v/>
      </c>
      <c r="H156" s="38" t="n"/>
      <c r="I156" s="18">
        <f>IF($B156="","",N($F156)+N($G156)+N($H156))</f>
        <v/>
      </c>
      <c r="J156" s="18">
        <f>IF($B156="","",N($E156)-N($I156))</f>
        <v/>
      </c>
    </row>
    <row r="157">
      <c r="A157" s="16">
        <f>IF($B157="","",COUNTA($B$4:$B157))</f>
        <v/>
      </c>
      <c r="B157" s="72" t="n"/>
      <c r="C157" s="18">
        <f>IF($B157="","",N($J156))</f>
        <v/>
      </c>
      <c r="D157" s="40" t="n"/>
      <c r="E157" s="18">
        <f>IF($B157="","",N($C157)+N($D157))</f>
        <v/>
      </c>
      <c r="F157" s="18">
        <f>IF($B157="","",SUMIFS('العهد والرحلات'!$J$4:$J$2003,'العهد والرحلات'!$B$4:$B$2003,$B157))</f>
        <v/>
      </c>
      <c r="G157" s="18">
        <f>IF($B157="","",SUMIFS('الإيصالات'!$C$4:$C$2003,'الإيصالات'!$B$4:$B$2003,$B157))</f>
        <v/>
      </c>
      <c r="H157" s="40" t="n"/>
      <c r="I157" s="18">
        <f>IF($B157="","",N($F157)+N($G157)+N($H157))</f>
        <v/>
      </c>
      <c r="J157" s="18">
        <f>IF($B157="","",N($E157)-N($I157))</f>
        <v/>
      </c>
    </row>
    <row r="158">
      <c r="A158" s="16">
        <f>IF($B158="","",COUNTA($B$4:$B158))</f>
        <v/>
      </c>
      <c r="B158" s="71" t="n"/>
      <c r="C158" s="18">
        <f>IF($B158="","",N($J157))</f>
        <v/>
      </c>
      <c r="D158" s="38" t="n"/>
      <c r="E158" s="18">
        <f>IF($B158="","",N($C158)+N($D158))</f>
        <v/>
      </c>
      <c r="F158" s="18">
        <f>IF($B158="","",SUMIFS('العهد والرحلات'!$J$4:$J$2003,'العهد والرحلات'!$B$4:$B$2003,$B158))</f>
        <v/>
      </c>
      <c r="G158" s="18">
        <f>IF($B158="","",SUMIFS('الإيصالات'!$C$4:$C$2003,'الإيصالات'!$B$4:$B$2003,$B158))</f>
        <v/>
      </c>
      <c r="H158" s="38" t="n"/>
      <c r="I158" s="18">
        <f>IF($B158="","",N($F158)+N($G158)+N($H158))</f>
        <v/>
      </c>
      <c r="J158" s="18">
        <f>IF($B158="","",N($E158)-N($I158))</f>
        <v/>
      </c>
    </row>
    <row r="159">
      <c r="A159" s="16">
        <f>IF($B159="","",COUNTA($B$4:$B159))</f>
        <v/>
      </c>
      <c r="B159" s="72" t="n"/>
      <c r="C159" s="18">
        <f>IF($B159="","",N($J158))</f>
        <v/>
      </c>
      <c r="D159" s="40" t="n"/>
      <c r="E159" s="18">
        <f>IF($B159="","",N($C159)+N($D159))</f>
        <v/>
      </c>
      <c r="F159" s="18">
        <f>IF($B159="","",SUMIFS('العهد والرحلات'!$J$4:$J$2003,'العهد والرحلات'!$B$4:$B$2003,$B159))</f>
        <v/>
      </c>
      <c r="G159" s="18">
        <f>IF($B159="","",SUMIFS('الإيصالات'!$C$4:$C$2003,'الإيصالات'!$B$4:$B$2003,$B159))</f>
        <v/>
      </c>
      <c r="H159" s="40" t="n"/>
      <c r="I159" s="18">
        <f>IF($B159="","",N($F159)+N($G159)+N($H159))</f>
        <v/>
      </c>
      <c r="J159" s="18">
        <f>IF($B159="","",N($E159)-N($I159))</f>
        <v/>
      </c>
    </row>
    <row r="160">
      <c r="A160" s="16">
        <f>IF($B160="","",COUNTA($B$4:$B160))</f>
        <v/>
      </c>
      <c r="B160" s="71" t="n"/>
      <c r="C160" s="18">
        <f>IF($B160="","",N($J159))</f>
        <v/>
      </c>
      <c r="D160" s="38" t="n"/>
      <c r="E160" s="18">
        <f>IF($B160="","",N($C160)+N($D160))</f>
        <v/>
      </c>
      <c r="F160" s="18">
        <f>IF($B160="","",SUMIFS('العهد والرحلات'!$J$4:$J$2003,'العهد والرحلات'!$B$4:$B$2003,$B160))</f>
        <v/>
      </c>
      <c r="G160" s="18">
        <f>IF($B160="","",SUMIFS('الإيصالات'!$C$4:$C$2003,'الإيصالات'!$B$4:$B$2003,$B160))</f>
        <v/>
      </c>
      <c r="H160" s="38" t="n"/>
      <c r="I160" s="18">
        <f>IF($B160="","",N($F160)+N($G160)+N($H160))</f>
        <v/>
      </c>
      <c r="J160" s="18">
        <f>IF($B160="","",N($E160)-N($I160))</f>
        <v/>
      </c>
    </row>
    <row r="161">
      <c r="A161" s="16">
        <f>IF($B161="","",COUNTA($B$4:$B161))</f>
        <v/>
      </c>
      <c r="B161" s="72" t="n"/>
      <c r="C161" s="18">
        <f>IF($B161="","",N($J160))</f>
        <v/>
      </c>
      <c r="D161" s="40" t="n"/>
      <c r="E161" s="18">
        <f>IF($B161="","",N($C161)+N($D161))</f>
        <v/>
      </c>
      <c r="F161" s="18">
        <f>IF($B161="","",SUMIFS('العهد والرحلات'!$J$4:$J$2003,'العهد والرحلات'!$B$4:$B$2003,$B161))</f>
        <v/>
      </c>
      <c r="G161" s="18">
        <f>IF($B161="","",SUMIFS('الإيصالات'!$C$4:$C$2003,'الإيصالات'!$B$4:$B$2003,$B161))</f>
        <v/>
      </c>
      <c r="H161" s="40" t="n"/>
      <c r="I161" s="18">
        <f>IF($B161="","",N($F161)+N($G161)+N($H161))</f>
        <v/>
      </c>
      <c r="J161" s="18">
        <f>IF($B161="","",N($E161)-N($I161))</f>
        <v/>
      </c>
    </row>
    <row r="162">
      <c r="A162" s="16">
        <f>IF($B162="","",COUNTA($B$4:$B162))</f>
        <v/>
      </c>
      <c r="B162" s="71" t="n"/>
      <c r="C162" s="18">
        <f>IF($B162="","",N($J161))</f>
        <v/>
      </c>
      <c r="D162" s="38" t="n"/>
      <c r="E162" s="18">
        <f>IF($B162="","",N($C162)+N($D162))</f>
        <v/>
      </c>
      <c r="F162" s="18">
        <f>IF($B162="","",SUMIFS('العهد والرحلات'!$J$4:$J$2003,'العهد والرحلات'!$B$4:$B$2003,$B162))</f>
        <v/>
      </c>
      <c r="G162" s="18">
        <f>IF($B162="","",SUMIFS('الإيصالات'!$C$4:$C$2003,'الإيصالات'!$B$4:$B$2003,$B162))</f>
        <v/>
      </c>
      <c r="H162" s="38" t="n"/>
      <c r="I162" s="18">
        <f>IF($B162="","",N($F162)+N($G162)+N($H162))</f>
        <v/>
      </c>
      <c r="J162" s="18">
        <f>IF($B162="","",N($E162)-N($I162))</f>
        <v/>
      </c>
    </row>
    <row r="163">
      <c r="A163" s="16">
        <f>IF($B163="","",COUNTA($B$4:$B163))</f>
        <v/>
      </c>
      <c r="B163" s="72" t="n"/>
      <c r="C163" s="18">
        <f>IF($B163="","",N($J162))</f>
        <v/>
      </c>
      <c r="D163" s="40" t="n"/>
      <c r="E163" s="18">
        <f>IF($B163="","",N($C163)+N($D163))</f>
        <v/>
      </c>
      <c r="F163" s="18">
        <f>IF($B163="","",SUMIFS('العهد والرحلات'!$J$4:$J$2003,'العهد والرحلات'!$B$4:$B$2003,$B163))</f>
        <v/>
      </c>
      <c r="G163" s="18">
        <f>IF($B163="","",SUMIFS('الإيصالات'!$C$4:$C$2003,'الإيصالات'!$B$4:$B$2003,$B163))</f>
        <v/>
      </c>
      <c r="H163" s="40" t="n"/>
      <c r="I163" s="18">
        <f>IF($B163="","",N($F163)+N($G163)+N($H163))</f>
        <v/>
      </c>
      <c r="J163" s="18">
        <f>IF($B163="","",N($E163)-N($I163))</f>
        <v/>
      </c>
    </row>
    <row r="164">
      <c r="A164" s="16">
        <f>IF($B164="","",COUNTA($B$4:$B164))</f>
        <v/>
      </c>
      <c r="B164" s="71" t="n"/>
      <c r="C164" s="18">
        <f>IF($B164="","",N($J163))</f>
        <v/>
      </c>
      <c r="D164" s="38" t="n"/>
      <c r="E164" s="18">
        <f>IF($B164="","",N($C164)+N($D164))</f>
        <v/>
      </c>
      <c r="F164" s="18">
        <f>IF($B164="","",SUMIFS('العهد والرحلات'!$J$4:$J$2003,'العهد والرحلات'!$B$4:$B$2003,$B164))</f>
        <v/>
      </c>
      <c r="G164" s="18">
        <f>IF($B164="","",SUMIFS('الإيصالات'!$C$4:$C$2003,'الإيصالات'!$B$4:$B$2003,$B164))</f>
        <v/>
      </c>
      <c r="H164" s="38" t="n"/>
      <c r="I164" s="18">
        <f>IF($B164="","",N($F164)+N($G164)+N($H164))</f>
        <v/>
      </c>
      <c r="J164" s="18">
        <f>IF($B164="","",N($E164)-N($I164))</f>
        <v/>
      </c>
    </row>
    <row r="165">
      <c r="A165" s="16">
        <f>IF($B165="","",COUNTA($B$4:$B165))</f>
        <v/>
      </c>
      <c r="B165" s="72" t="n"/>
      <c r="C165" s="18">
        <f>IF($B165="","",N($J164))</f>
        <v/>
      </c>
      <c r="D165" s="40" t="n"/>
      <c r="E165" s="18">
        <f>IF($B165="","",N($C165)+N($D165))</f>
        <v/>
      </c>
      <c r="F165" s="18">
        <f>IF($B165="","",SUMIFS('العهد والرحلات'!$J$4:$J$2003,'العهد والرحلات'!$B$4:$B$2003,$B165))</f>
        <v/>
      </c>
      <c r="G165" s="18">
        <f>IF($B165="","",SUMIFS('الإيصالات'!$C$4:$C$2003,'الإيصالات'!$B$4:$B$2003,$B165))</f>
        <v/>
      </c>
      <c r="H165" s="40" t="n"/>
      <c r="I165" s="18">
        <f>IF($B165="","",N($F165)+N($G165)+N($H165))</f>
        <v/>
      </c>
      <c r="J165" s="18">
        <f>IF($B165="","",N($E165)-N($I165))</f>
        <v/>
      </c>
    </row>
    <row r="166">
      <c r="A166" s="16">
        <f>IF($B166="","",COUNTA($B$4:$B166))</f>
        <v/>
      </c>
      <c r="B166" s="71" t="n"/>
      <c r="C166" s="18">
        <f>IF($B166="","",N($J165))</f>
        <v/>
      </c>
      <c r="D166" s="38" t="n"/>
      <c r="E166" s="18">
        <f>IF($B166="","",N($C166)+N($D166))</f>
        <v/>
      </c>
      <c r="F166" s="18">
        <f>IF($B166="","",SUMIFS('العهد والرحلات'!$J$4:$J$2003,'العهد والرحلات'!$B$4:$B$2003,$B166))</f>
        <v/>
      </c>
      <c r="G166" s="18">
        <f>IF($B166="","",SUMIFS('الإيصالات'!$C$4:$C$2003,'الإيصالات'!$B$4:$B$2003,$B166))</f>
        <v/>
      </c>
      <c r="H166" s="38" t="n"/>
      <c r="I166" s="18">
        <f>IF($B166="","",N($F166)+N($G166)+N($H166))</f>
        <v/>
      </c>
      <c r="J166" s="18">
        <f>IF($B166="","",N($E166)-N($I166))</f>
        <v/>
      </c>
    </row>
    <row r="167">
      <c r="A167" s="16">
        <f>IF($B167="","",COUNTA($B$4:$B167))</f>
        <v/>
      </c>
      <c r="B167" s="72" t="n"/>
      <c r="C167" s="18">
        <f>IF($B167="","",N($J166))</f>
        <v/>
      </c>
      <c r="D167" s="40" t="n"/>
      <c r="E167" s="18">
        <f>IF($B167="","",N($C167)+N($D167))</f>
        <v/>
      </c>
      <c r="F167" s="18">
        <f>IF($B167="","",SUMIFS('العهد والرحلات'!$J$4:$J$2003,'العهد والرحلات'!$B$4:$B$2003,$B167))</f>
        <v/>
      </c>
      <c r="G167" s="18">
        <f>IF($B167="","",SUMIFS('الإيصالات'!$C$4:$C$2003,'الإيصالات'!$B$4:$B$2003,$B167))</f>
        <v/>
      </c>
      <c r="H167" s="40" t="n"/>
      <c r="I167" s="18">
        <f>IF($B167="","",N($F167)+N($G167)+N($H167))</f>
        <v/>
      </c>
      <c r="J167" s="18">
        <f>IF($B167="","",N($E167)-N($I167))</f>
        <v/>
      </c>
    </row>
    <row r="168">
      <c r="A168" s="16">
        <f>IF($B168="","",COUNTA($B$4:$B168))</f>
        <v/>
      </c>
      <c r="B168" s="71" t="n"/>
      <c r="C168" s="18">
        <f>IF($B168="","",N($J167))</f>
        <v/>
      </c>
      <c r="D168" s="38" t="n"/>
      <c r="E168" s="18">
        <f>IF($B168="","",N($C168)+N($D168))</f>
        <v/>
      </c>
      <c r="F168" s="18">
        <f>IF($B168="","",SUMIFS('العهد والرحلات'!$J$4:$J$2003,'العهد والرحلات'!$B$4:$B$2003,$B168))</f>
        <v/>
      </c>
      <c r="G168" s="18">
        <f>IF($B168="","",SUMIFS('الإيصالات'!$C$4:$C$2003,'الإيصالات'!$B$4:$B$2003,$B168))</f>
        <v/>
      </c>
      <c r="H168" s="38" t="n"/>
      <c r="I168" s="18">
        <f>IF($B168="","",N($F168)+N($G168)+N($H168))</f>
        <v/>
      </c>
      <c r="J168" s="18">
        <f>IF($B168="","",N($E168)-N($I168))</f>
        <v/>
      </c>
    </row>
    <row r="169">
      <c r="A169" s="16">
        <f>IF($B169="","",COUNTA($B$4:$B169))</f>
        <v/>
      </c>
      <c r="B169" s="72" t="n"/>
      <c r="C169" s="18">
        <f>IF($B169="","",N($J168))</f>
        <v/>
      </c>
      <c r="D169" s="40" t="n"/>
      <c r="E169" s="18">
        <f>IF($B169="","",N($C169)+N($D169))</f>
        <v/>
      </c>
      <c r="F169" s="18">
        <f>IF($B169="","",SUMIFS('العهد والرحلات'!$J$4:$J$2003,'العهد والرحلات'!$B$4:$B$2003,$B169))</f>
        <v/>
      </c>
      <c r="G169" s="18">
        <f>IF($B169="","",SUMIFS('الإيصالات'!$C$4:$C$2003,'الإيصالات'!$B$4:$B$2003,$B169))</f>
        <v/>
      </c>
      <c r="H169" s="40" t="n"/>
      <c r="I169" s="18">
        <f>IF($B169="","",N($F169)+N($G169)+N($H169))</f>
        <v/>
      </c>
      <c r="J169" s="18">
        <f>IF($B169="","",N($E169)-N($I169))</f>
        <v/>
      </c>
    </row>
    <row r="170">
      <c r="A170" s="16">
        <f>IF($B170="","",COUNTA($B$4:$B170))</f>
        <v/>
      </c>
      <c r="B170" s="71" t="n"/>
      <c r="C170" s="18">
        <f>IF($B170="","",N($J169))</f>
        <v/>
      </c>
      <c r="D170" s="38" t="n"/>
      <c r="E170" s="18">
        <f>IF($B170="","",N($C170)+N($D170))</f>
        <v/>
      </c>
      <c r="F170" s="18">
        <f>IF($B170="","",SUMIFS('العهد والرحلات'!$J$4:$J$2003,'العهد والرحلات'!$B$4:$B$2003,$B170))</f>
        <v/>
      </c>
      <c r="G170" s="18">
        <f>IF($B170="","",SUMIFS('الإيصالات'!$C$4:$C$2003,'الإيصالات'!$B$4:$B$2003,$B170))</f>
        <v/>
      </c>
      <c r="H170" s="38" t="n"/>
      <c r="I170" s="18">
        <f>IF($B170="","",N($F170)+N($G170)+N($H170))</f>
        <v/>
      </c>
      <c r="J170" s="18">
        <f>IF($B170="","",N($E170)-N($I170))</f>
        <v/>
      </c>
    </row>
    <row r="171">
      <c r="A171" s="16">
        <f>IF($B171="","",COUNTA($B$4:$B171))</f>
        <v/>
      </c>
      <c r="B171" s="72" t="n"/>
      <c r="C171" s="18">
        <f>IF($B171="","",N($J170))</f>
        <v/>
      </c>
      <c r="D171" s="40" t="n"/>
      <c r="E171" s="18">
        <f>IF($B171="","",N($C171)+N($D171))</f>
        <v/>
      </c>
      <c r="F171" s="18">
        <f>IF($B171="","",SUMIFS('العهد والرحلات'!$J$4:$J$2003,'العهد والرحلات'!$B$4:$B$2003,$B171))</f>
        <v/>
      </c>
      <c r="G171" s="18">
        <f>IF($B171="","",SUMIFS('الإيصالات'!$C$4:$C$2003,'الإيصالات'!$B$4:$B$2003,$B171))</f>
        <v/>
      </c>
      <c r="H171" s="40" t="n"/>
      <c r="I171" s="18">
        <f>IF($B171="","",N($F171)+N($G171)+N($H171))</f>
        <v/>
      </c>
      <c r="J171" s="18">
        <f>IF($B171="","",N($E171)-N($I171))</f>
        <v/>
      </c>
    </row>
    <row r="172">
      <c r="A172" s="16">
        <f>IF($B172="","",COUNTA($B$4:$B172))</f>
        <v/>
      </c>
      <c r="B172" s="71" t="n"/>
      <c r="C172" s="18">
        <f>IF($B172="","",N($J171))</f>
        <v/>
      </c>
      <c r="D172" s="38" t="n"/>
      <c r="E172" s="18">
        <f>IF($B172="","",N($C172)+N($D172))</f>
        <v/>
      </c>
      <c r="F172" s="18">
        <f>IF($B172="","",SUMIFS('العهد والرحلات'!$J$4:$J$2003,'العهد والرحلات'!$B$4:$B$2003,$B172))</f>
        <v/>
      </c>
      <c r="G172" s="18">
        <f>IF($B172="","",SUMIFS('الإيصالات'!$C$4:$C$2003,'الإيصالات'!$B$4:$B$2003,$B172))</f>
        <v/>
      </c>
      <c r="H172" s="38" t="n"/>
      <c r="I172" s="18">
        <f>IF($B172="","",N($F172)+N($G172)+N($H172))</f>
        <v/>
      </c>
      <c r="J172" s="18">
        <f>IF($B172="","",N($E172)-N($I172))</f>
        <v/>
      </c>
    </row>
    <row r="173">
      <c r="A173" s="16">
        <f>IF($B173="","",COUNTA($B$4:$B173))</f>
        <v/>
      </c>
      <c r="B173" s="72" t="n"/>
      <c r="C173" s="18">
        <f>IF($B173="","",N($J172))</f>
        <v/>
      </c>
      <c r="D173" s="40" t="n"/>
      <c r="E173" s="18">
        <f>IF($B173="","",N($C173)+N($D173))</f>
        <v/>
      </c>
      <c r="F173" s="18">
        <f>IF($B173="","",SUMIFS('العهد والرحلات'!$J$4:$J$2003,'العهد والرحلات'!$B$4:$B$2003,$B173))</f>
        <v/>
      </c>
      <c r="G173" s="18">
        <f>IF($B173="","",SUMIFS('الإيصالات'!$C$4:$C$2003,'الإيصالات'!$B$4:$B$2003,$B173))</f>
        <v/>
      </c>
      <c r="H173" s="40" t="n"/>
      <c r="I173" s="18">
        <f>IF($B173="","",N($F173)+N($G173)+N($H173))</f>
        <v/>
      </c>
      <c r="J173" s="18">
        <f>IF($B173="","",N($E173)-N($I173))</f>
        <v/>
      </c>
    </row>
    <row r="174">
      <c r="A174" s="16">
        <f>IF($B174="","",COUNTA($B$4:$B174))</f>
        <v/>
      </c>
      <c r="B174" s="71" t="n"/>
      <c r="C174" s="18">
        <f>IF($B174="","",N($J173))</f>
        <v/>
      </c>
      <c r="D174" s="38" t="n"/>
      <c r="E174" s="18">
        <f>IF($B174="","",N($C174)+N($D174))</f>
        <v/>
      </c>
      <c r="F174" s="18">
        <f>IF($B174="","",SUMIFS('العهد والرحلات'!$J$4:$J$2003,'العهد والرحلات'!$B$4:$B$2003,$B174))</f>
        <v/>
      </c>
      <c r="G174" s="18">
        <f>IF($B174="","",SUMIFS('الإيصالات'!$C$4:$C$2003,'الإيصالات'!$B$4:$B$2003,$B174))</f>
        <v/>
      </c>
      <c r="H174" s="38" t="n"/>
      <c r="I174" s="18">
        <f>IF($B174="","",N($F174)+N($G174)+N($H174))</f>
        <v/>
      </c>
      <c r="J174" s="18">
        <f>IF($B174="","",N($E174)-N($I174))</f>
        <v/>
      </c>
    </row>
    <row r="175">
      <c r="A175" s="16">
        <f>IF($B175="","",COUNTA($B$4:$B175))</f>
        <v/>
      </c>
      <c r="B175" s="72" t="n"/>
      <c r="C175" s="18">
        <f>IF($B175="","",N($J174))</f>
        <v/>
      </c>
      <c r="D175" s="40" t="n"/>
      <c r="E175" s="18">
        <f>IF($B175="","",N($C175)+N($D175))</f>
        <v/>
      </c>
      <c r="F175" s="18">
        <f>IF($B175="","",SUMIFS('العهد والرحلات'!$J$4:$J$2003,'العهد والرحلات'!$B$4:$B$2003,$B175))</f>
        <v/>
      </c>
      <c r="G175" s="18">
        <f>IF($B175="","",SUMIFS('الإيصالات'!$C$4:$C$2003,'الإيصالات'!$B$4:$B$2003,$B175))</f>
        <v/>
      </c>
      <c r="H175" s="40" t="n"/>
      <c r="I175" s="18">
        <f>IF($B175="","",N($F175)+N($G175)+N($H175))</f>
        <v/>
      </c>
      <c r="J175" s="18">
        <f>IF($B175="","",N($E175)-N($I175))</f>
        <v/>
      </c>
    </row>
    <row r="176">
      <c r="A176" s="16">
        <f>IF($B176="","",COUNTA($B$4:$B176))</f>
        <v/>
      </c>
      <c r="B176" s="71" t="n"/>
      <c r="C176" s="18">
        <f>IF($B176="","",N($J175))</f>
        <v/>
      </c>
      <c r="D176" s="38" t="n"/>
      <c r="E176" s="18">
        <f>IF($B176="","",N($C176)+N($D176))</f>
        <v/>
      </c>
      <c r="F176" s="18">
        <f>IF($B176="","",SUMIFS('العهد والرحلات'!$J$4:$J$2003,'العهد والرحلات'!$B$4:$B$2003,$B176))</f>
        <v/>
      </c>
      <c r="G176" s="18">
        <f>IF($B176="","",SUMIFS('الإيصالات'!$C$4:$C$2003,'الإيصالات'!$B$4:$B$2003,$B176))</f>
        <v/>
      </c>
      <c r="H176" s="38" t="n"/>
      <c r="I176" s="18">
        <f>IF($B176="","",N($F176)+N($G176)+N($H176))</f>
        <v/>
      </c>
      <c r="J176" s="18">
        <f>IF($B176="","",N($E176)-N($I176))</f>
        <v/>
      </c>
    </row>
    <row r="177">
      <c r="A177" s="16">
        <f>IF($B177="","",COUNTA($B$4:$B177))</f>
        <v/>
      </c>
      <c r="B177" s="72" t="n"/>
      <c r="C177" s="18">
        <f>IF($B177="","",N($J176))</f>
        <v/>
      </c>
      <c r="D177" s="40" t="n"/>
      <c r="E177" s="18">
        <f>IF($B177="","",N($C177)+N($D177))</f>
        <v/>
      </c>
      <c r="F177" s="18">
        <f>IF($B177="","",SUMIFS('العهد والرحلات'!$J$4:$J$2003,'العهد والرحلات'!$B$4:$B$2003,$B177))</f>
        <v/>
      </c>
      <c r="G177" s="18">
        <f>IF($B177="","",SUMIFS('الإيصالات'!$C$4:$C$2003,'الإيصالات'!$B$4:$B$2003,$B177))</f>
        <v/>
      </c>
      <c r="H177" s="40" t="n"/>
      <c r="I177" s="18">
        <f>IF($B177="","",N($F177)+N($G177)+N($H177))</f>
        <v/>
      </c>
      <c r="J177" s="18">
        <f>IF($B177="","",N($E177)-N($I177))</f>
        <v/>
      </c>
    </row>
    <row r="178">
      <c r="A178" s="16">
        <f>IF($B178="","",COUNTA($B$4:$B178))</f>
        <v/>
      </c>
      <c r="B178" s="71" t="n"/>
      <c r="C178" s="18">
        <f>IF($B178="","",N($J177))</f>
        <v/>
      </c>
      <c r="D178" s="38" t="n"/>
      <c r="E178" s="18">
        <f>IF($B178="","",N($C178)+N($D178))</f>
        <v/>
      </c>
      <c r="F178" s="18">
        <f>IF($B178="","",SUMIFS('العهد والرحلات'!$J$4:$J$2003,'العهد والرحلات'!$B$4:$B$2003,$B178))</f>
        <v/>
      </c>
      <c r="G178" s="18">
        <f>IF($B178="","",SUMIFS('الإيصالات'!$C$4:$C$2003,'الإيصالات'!$B$4:$B$2003,$B178))</f>
        <v/>
      </c>
      <c r="H178" s="38" t="n"/>
      <c r="I178" s="18">
        <f>IF($B178="","",N($F178)+N($G178)+N($H178))</f>
        <v/>
      </c>
      <c r="J178" s="18">
        <f>IF($B178="","",N($E178)-N($I178))</f>
        <v/>
      </c>
    </row>
    <row r="179">
      <c r="A179" s="16">
        <f>IF($B179="","",COUNTA($B$4:$B179))</f>
        <v/>
      </c>
      <c r="B179" s="72" t="n"/>
      <c r="C179" s="18">
        <f>IF($B179="","",N($J178))</f>
        <v/>
      </c>
      <c r="D179" s="40" t="n"/>
      <c r="E179" s="18">
        <f>IF($B179="","",N($C179)+N($D179))</f>
        <v/>
      </c>
      <c r="F179" s="18">
        <f>IF($B179="","",SUMIFS('العهد والرحلات'!$J$4:$J$2003,'العهد والرحلات'!$B$4:$B$2003,$B179))</f>
        <v/>
      </c>
      <c r="G179" s="18">
        <f>IF($B179="","",SUMIFS('الإيصالات'!$C$4:$C$2003,'الإيصالات'!$B$4:$B$2003,$B179))</f>
        <v/>
      </c>
      <c r="H179" s="40" t="n"/>
      <c r="I179" s="18">
        <f>IF($B179="","",N($F179)+N($G179)+N($H179))</f>
        <v/>
      </c>
      <c r="J179" s="18">
        <f>IF($B179="","",N($E179)-N($I179))</f>
        <v/>
      </c>
    </row>
    <row r="180">
      <c r="A180" s="16">
        <f>IF($B180="","",COUNTA($B$4:$B180))</f>
        <v/>
      </c>
      <c r="B180" s="71" t="n"/>
      <c r="C180" s="18">
        <f>IF($B180="","",N($J179))</f>
        <v/>
      </c>
      <c r="D180" s="38" t="n"/>
      <c r="E180" s="18">
        <f>IF($B180="","",N($C180)+N($D180))</f>
        <v/>
      </c>
      <c r="F180" s="18">
        <f>IF($B180="","",SUMIFS('العهد والرحلات'!$J$4:$J$2003,'العهد والرحلات'!$B$4:$B$2003,$B180))</f>
        <v/>
      </c>
      <c r="G180" s="18">
        <f>IF($B180="","",SUMIFS('الإيصالات'!$C$4:$C$2003,'الإيصالات'!$B$4:$B$2003,$B180))</f>
        <v/>
      </c>
      <c r="H180" s="38" t="n"/>
      <c r="I180" s="18">
        <f>IF($B180="","",N($F180)+N($G180)+N($H180))</f>
        <v/>
      </c>
      <c r="J180" s="18">
        <f>IF($B180="","",N($E180)-N($I180))</f>
        <v/>
      </c>
    </row>
    <row r="181">
      <c r="A181" s="16">
        <f>IF($B181="","",COUNTA($B$4:$B181))</f>
        <v/>
      </c>
      <c r="B181" s="72" t="n"/>
      <c r="C181" s="18">
        <f>IF($B181="","",N($J180))</f>
        <v/>
      </c>
      <c r="D181" s="40" t="n"/>
      <c r="E181" s="18">
        <f>IF($B181="","",N($C181)+N($D181))</f>
        <v/>
      </c>
      <c r="F181" s="18">
        <f>IF($B181="","",SUMIFS('العهد والرحلات'!$J$4:$J$2003,'العهد والرحلات'!$B$4:$B$2003,$B181))</f>
        <v/>
      </c>
      <c r="G181" s="18">
        <f>IF($B181="","",SUMIFS('الإيصالات'!$C$4:$C$2003,'الإيصالات'!$B$4:$B$2003,$B181))</f>
        <v/>
      </c>
      <c r="H181" s="40" t="n"/>
      <c r="I181" s="18">
        <f>IF($B181="","",N($F181)+N($G181)+N($H181))</f>
        <v/>
      </c>
      <c r="J181" s="18">
        <f>IF($B181="","",N($E181)-N($I181))</f>
        <v/>
      </c>
    </row>
    <row r="182">
      <c r="A182" s="16">
        <f>IF($B182="","",COUNTA($B$4:$B182))</f>
        <v/>
      </c>
      <c r="B182" s="71" t="n"/>
      <c r="C182" s="18">
        <f>IF($B182="","",N($J181))</f>
        <v/>
      </c>
      <c r="D182" s="38" t="n"/>
      <c r="E182" s="18">
        <f>IF($B182="","",N($C182)+N($D182))</f>
        <v/>
      </c>
      <c r="F182" s="18">
        <f>IF($B182="","",SUMIFS('العهد والرحلات'!$J$4:$J$2003,'العهد والرحلات'!$B$4:$B$2003,$B182))</f>
        <v/>
      </c>
      <c r="G182" s="18">
        <f>IF($B182="","",SUMIFS('الإيصالات'!$C$4:$C$2003,'الإيصالات'!$B$4:$B$2003,$B182))</f>
        <v/>
      </c>
      <c r="H182" s="38" t="n"/>
      <c r="I182" s="18">
        <f>IF($B182="","",N($F182)+N($G182)+N($H182))</f>
        <v/>
      </c>
      <c r="J182" s="18">
        <f>IF($B182="","",N($E182)-N($I182))</f>
        <v/>
      </c>
    </row>
    <row r="183">
      <c r="A183" s="16">
        <f>IF($B183="","",COUNTA($B$4:$B183))</f>
        <v/>
      </c>
      <c r="B183" s="72" t="n"/>
      <c r="C183" s="18">
        <f>IF($B183="","",N($J182))</f>
        <v/>
      </c>
      <c r="D183" s="40" t="n"/>
      <c r="E183" s="18">
        <f>IF($B183="","",N($C183)+N($D183))</f>
        <v/>
      </c>
      <c r="F183" s="18">
        <f>IF($B183="","",SUMIFS('العهد والرحلات'!$J$4:$J$2003,'العهد والرحلات'!$B$4:$B$2003,$B183))</f>
        <v/>
      </c>
      <c r="G183" s="18">
        <f>IF($B183="","",SUMIFS('الإيصالات'!$C$4:$C$2003,'الإيصالات'!$B$4:$B$2003,$B183))</f>
        <v/>
      </c>
      <c r="H183" s="40" t="n"/>
      <c r="I183" s="18">
        <f>IF($B183="","",N($F183)+N($G183)+N($H183))</f>
        <v/>
      </c>
      <c r="J183" s="18">
        <f>IF($B183="","",N($E183)-N($I183))</f>
        <v/>
      </c>
    </row>
    <row r="184">
      <c r="A184" s="16">
        <f>IF($B184="","",COUNTA($B$4:$B184))</f>
        <v/>
      </c>
      <c r="B184" s="71" t="n"/>
      <c r="C184" s="18">
        <f>IF($B184="","",N($J183))</f>
        <v/>
      </c>
      <c r="D184" s="38" t="n"/>
      <c r="E184" s="18">
        <f>IF($B184="","",N($C184)+N($D184))</f>
        <v/>
      </c>
      <c r="F184" s="18">
        <f>IF($B184="","",SUMIFS('العهد والرحلات'!$J$4:$J$2003,'العهد والرحلات'!$B$4:$B$2003,$B184))</f>
        <v/>
      </c>
      <c r="G184" s="18">
        <f>IF($B184="","",SUMIFS('الإيصالات'!$C$4:$C$2003,'الإيصالات'!$B$4:$B$2003,$B184))</f>
        <v/>
      </c>
      <c r="H184" s="38" t="n"/>
      <c r="I184" s="18">
        <f>IF($B184="","",N($F184)+N($G184)+N($H184))</f>
        <v/>
      </c>
      <c r="J184" s="18">
        <f>IF($B184="","",N($E184)-N($I184))</f>
        <v/>
      </c>
    </row>
    <row r="185">
      <c r="A185" s="16">
        <f>IF($B185="","",COUNTA($B$4:$B185))</f>
        <v/>
      </c>
      <c r="B185" s="72" t="n"/>
      <c r="C185" s="18">
        <f>IF($B185="","",N($J184))</f>
        <v/>
      </c>
      <c r="D185" s="40" t="n"/>
      <c r="E185" s="18">
        <f>IF($B185="","",N($C185)+N($D185))</f>
        <v/>
      </c>
      <c r="F185" s="18">
        <f>IF($B185="","",SUMIFS('العهد والرحلات'!$J$4:$J$2003,'العهد والرحلات'!$B$4:$B$2003,$B185))</f>
        <v/>
      </c>
      <c r="G185" s="18">
        <f>IF($B185="","",SUMIFS('الإيصالات'!$C$4:$C$2003,'الإيصالات'!$B$4:$B$2003,$B185))</f>
        <v/>
      </c>
      <c r="H185" s="40" t="n"/>
      <c r="I185" s="18">
        <f>IF($B185="","",N($F185)+N($G185)+N($H185))</f>
        <v/>
      </c>
      <c r="J185" s="18">
        <f>IF($B185="","",N($E185)-N($I185))</f>
        <v/>
      </c>
    </row>
    <row r="186">
      <c r="A186" s="16">
        <f>IF($B186="","",COUNTA($B$4:$B186))</f>
        <v/>
      </c>
      <c r="B186" s="71" t="n"/>
      <c r="C186" s="18">
        <f>IF($B186="","",N($J185))</f>
        <v/>
      </c>
      <c r="D186" s="38" t="n"/>
      <c r="E186" s="18">
        <f>IF($B186="","",N($C186)+N($D186))</f>
        <v/>
      </c>
      <c r="F186" s="18">
        <f>IF($B186="","",SUMIFS('العهد والرحلات'!$J$4:$J$2003,'العهد والرحلات'!$B$4:$B$2003,$B186))</f>
        <v/>
      </c>
      <c r="G186" s="18">
        <f>IF($B186="","",SUMIFS('الإيصالات'!$C$4:$C$2003,'الإيصالات'!$B$4:$B$2003,$B186))</f>
        <v/>
      </c>
      <c r="H186" s="38" t="n"/>
      <c r="I186" s="18">
        <f>IF($B186="","",N($F186)+N($G186)+N($H186))</f>
        <v/>
      </c>
      <c r="J186" s="18">
        <f>IF($B186="","",N($E186)-N($I186))</f>
        <v/>
      </c>
    </row>
    <row r="187">
      <c r="A187" s="16">
        <f>IF($B187="","",COUNTA($B$4:$B187))</f>
        <v/>
      </c>
      <c r="B187" s="72" t="n"/>
      <c r="C187" s="18">
        <f>IF($B187="","",N($J186))</f>
        <v/>
      </c>
      <c r="D187" s="40" t="n"/>
      <c r="E187" s="18">
        <f>IF($B187="","",N($C187)+N($D187))</f>
        <v/>
      </c>
      <c r="F187" s="18">
        <f>IF($B187="","",SUMIFS('العهد والرحلات'!$J$4:$J$2003,'العهد والرحلات'!$B$4:$B$2003,$B187))</f>
        <v/>
      </c>
      <c r="G187" s="18">
        <f>IF($B187="","",SUMIFS('الإيصالات'!$C$4:$C$2003,'الإيصالات'!$B$4:$B$2003,$B187))</f>
        <v/>
      </c>
      <c r="H187" s="40" t="n"/>
      <c r="I187" s="18">
        <f>IF($B187="","",N($F187)+N($G187)+N($H187))</f>
        <v/>
      </c>
      <c r="J187" s="18">
        <f>IF($B187="","",N($E187)-N($I187))</f>
        <v/>
      </c>
    </row>
    <row r="188">
      <c r="A188" s="16">
        <f>IF($B188="","",COUNTA($B$4:$B188))</f>
        <v/>
      </c>
      <c r="B188" s="71" t="n"/>
      <c r="C188" s="18">
        <f>IF($B188="","",N($J187))</f>
        <v/>
      </c>
      <c r="D188" s="38" t="n"/>
      <c r="E188" s="18">
        <f>IF($B188="","",N($C188)+N($D188))</f>
        <v/>
      </c>
      <c r="F188" s="18">
        <f>IF($B188="","",SUMIFS('العهد والرحلات'!$J$4:$J$2003,'العهد والرحلات'!$B$4:$B$2003,$B188))</f>
        <v/>
      </c>
      <c r="G188" s="18">
        <f>IF($B188="","",SUMIFS('الإيصالات'!$C$4:$C$2003,'الإيصالات'!$B$4:$B$2003,$B188))</f>
        <v/>
      </c>
      <c r="H188" s="38" t="n"/>
      <c r="I188" s="18">
        <f>IF($B188="","",N($F188)+N($G188)+N($H188))</f>
        <v/>
      </c>
      <c r="J188" s="18">
        <f>IF($B188="","",N($E188)-N($I188))</f>
        <v/>
      </c>
    </row>
    <row r="189">
      <c r="A189" s="16">
        <f>IF($B189="","",COUNTA($B$4:$B189))</f>
        <v/>
      </c>
      <c r="B189" s="72" t="n"/>
      <c r="C189" s="18">
        <f>IF($B189="","",N($J188))</f>
        <v/>
      </c>
      <c r="D189" s="40" t="n"/>
      <c r="E189" s="18">
        <f>IF($B189="","",N($C189)+N($D189))</f>
        <v/>
      </c>
      <c r="F189" s="18">
        <f>IF($B189="","",SUMIFS('العهد والرحلات'!$J$4:$J$2003,'العهد والرحلات'!$B$4:$B$2003,$B189))</f>
        <v/>
      </c>
      <c r="G189" s="18">
        <f>IF($B189="","",SUMIFS('الإيصالات'!$C$4:$C$2003,'الإيصالات'!$B$4:$B$2003,$B189))</f>
        <v/>
      </c>
      <c r="H189" s="40" t="n"/>
      <c r="I189" s="18">
        <f>IF($B189="","",N($F189)+N($G189)+N($H189))</f>
        <v/>
      </c>
      <c r="J189" s="18">
        <f>IF($B189="","",N($E189)-N($I189))</f>
        <v/>
      </c>
    </row>
    <row r="190">
      <c r="A190" s="16">
        <f>IF($B190="","",COUNTA($B$4:$B190))</f>
        <v/>
      </c>
      <c r="B190" s="71" t="n"/>
      <c r="C190" s="18">
        <f>IF($B190="","",N($J189))</f>
        <v/>
      </c>
      <c r="D190" s="38" t="n"/>
      <c r="E190" s="18">
        <f>IF($B190="","",N($C190)+N($D190))</f>
        <v/>
      </c>
      <c r="F190" s="18">
        <f>IF($B190="","",SUMIFS('العهد والرحلات'!$J$4:$J$2003,'العهد والرحلات'!$B$4:$B$2003,$B190))</f>
        <v/>
      </c>
      <c r="G190" s="18">
        <f>IF($B190="","",SUMIFS('الإيصالات'!$C$4:$C$2003,'الإيصالات'!$B$4:$B$2003,$B190))</f>
        <v/>
      </c>
      <c r="H190" s="38" t="n"/>
      <c r="I190" s="18">
        <f>IF($B190="","",N($F190)+N($G190)+N($H190))</f>
        <v/>
      </c>
      <c r="J190" s="18">
        <f>IF($B190="","",N($E190)-N($I190))</f>
        <v/>
      </c>
    </row>
    <row r="191">
      <c r="A191" s="16">
        <f>IF($B191="","",COUNTA($B$4:$B191))</f>
        <v/>
      </c>
      <c r="B191" s="72" t="n"/>
      <c r="C191" s="18">
        <f>IF($B191="","",N($J190))</f>
        <v/>
      </c>
      <c r="D191" s="40" t="n"/>
      <c r="E191" s="18">
        <f>IF($B191="","",N($C191)+N($D191))</f>
        <v/>
      </c>
      <c r="F191" s="18">
        <f>IF($B191="","",SUMIFS('العهد والرحلات'!$J$4:$J$2003,'العهد والرحلات'!$B$4:$B$2003,$B191))</f>
        <v/>
      </c>
      <c r="G191" s="18">
        <f>IF($B191="","",SUMIFS('الإيصالات'!$C$4:$C$2003,'الإيصالات'!$B$4:$B$2003,$B191))</f>
        <v/>
      </c>
      <c r="H191" s="40" t="n"/>
      <c r="I191" s="18">
        <f>IF($B191="","",N($F191)+N($G191)+N($H191))</f>
        <v/>
      </c>
      <c r="J191" s="18">
        <f>IF($B191="","",N($E191)-N($I191))</f>
        <v/>
      </c>
    </row>
    <row r="192">
      <c r="A192" s="16">
        <f>IF($B192="","",COUNTA($B$4:$B192))</f>
        <v/>
      </c>
      <c r="B192" s="71" t="n"/>
      <c r="C192" s="18">
        <f>IF($B192="","",N($J191))</f>
        <v/>
      </c>
      <c r="D192" s="38" t="n"/>
      <c r="E192" s="18">
        <f>IF($B192="","",N($C192)+N($D192))</f>
        <v/>
      </c>
      <c r="F192" s="18">
        <f>IF($B192="","",SUMIFS('العهد والرحلات'!$J$4:$J$2003,'العهد والرحلات'!$B$4:$B$2003,$B192))</f>
        <v/>
      </c>
      <c r="G192" s="18">
        <f>IF($B192="","",SUMIFS('الإيصالات'!$C$4:$C$2003,'الإيصالات'!$B$4:$B$2003,$B192))</f>
        <v/>
      </c>
      <c r="H192" s="38" t="n"/>
      <c r="I192" s="18">
        <f>IF($B192="","",N($F192)+N($G192)+N($H192))</f>
        <v/>
      </c>
      <c r="J192" s="18">
        <f>IF($B192="","",N($E192)-N($I192))</f>
        <v/>
      </c>
    </row>
    <row r="193">
      <c r="A193" s="16">
        <f>IF($B193="","",COUNTA($B$4:$B193))</f>
        <v/>
      </c>
      <c r="B193" s="72" t="n"/>
      <c r="C193" s="18">
        <f>IF($B193="","",N($J192))</f>
        <v/>
      </c>
      <c r="D193" s="40" t="n"/>
      <c r="E193" s="18">
        <f>IF($B193="","",N($C193)+N($D193))</f>
        <v/>
      </c>
      <c r="F193" s="18">
        <f>IF($B193="","",SUMIFS('العهد والرحلات'!$J$4:$J$2003,'العهد والرحلات'!$B$4:$B$2003,$B193))</f>
        <v/>
      </c>
      <c r="G193" s="18">
        <f>IF($B193="","",SUMIFS('الإيصالات'!$C$4:$C$2003,'الإيصالات'!$B$4:$B$2003,$B193))</f>
        <v/>
      </c>
      <c r="H193" s="40" t="n"/>
      <c r="I193" s="18">
        <f>IF($B193="","",N($F193)+N($G193)+N($H193))</f>
        <v/>
      </c>
      <c r="J193" s="18">
        <f>IF($B193="","",N($E193)-N($I193))</f>
        <v/>
      </c>
    </row>
    <row r="194">
      <c r="A194" s="16">
        <f>IF($B194="","",COUNTA($B$4:$B194))</f>
        <v/>
      </c>
      <c r="B194" s="71" t="n"/>
      <c r="C194" s="18">
        <f>IF($B194="","",N($J193))</f>
        <v/>
      </c>
      <c r="D194" s="38" t="n"/>
      <c r="E194" s="18">
        <f>IF($B194="","",N($C194)+N($D194))</f>
        <v/>
      </c>
      <c r="F194" s="18">
        <f>IF($B194="","",SUMIFS('العهد والرحلات'!$J$4:$J$2003,'العهد والرحلات'!$B$4:$B$2003,$B194))</f>
        <v/>
      </c>
      <c r="G194" s="18">
        <f>IF($B194="","",SUMIFS('الإيصالات'!$C$4:$C$2003,'الإيصالات'!$B$4:$B$2003,$B194))</f>
        <v/>
      </c>
      <c r="H194" s="38" t="n"/>
      <c r="I194" s="18">
        <f>IF($B194="","",N($F194)+N($G194)+N($H194))</f>
        <v/>
      </c>
      <c r="J194" s="18">
        <f>IF($B194="","",N($E194)-N($I194))</f>
        <v/>
      </c>
    </row>
    <row r="195">
      <c r="A195" s="16">
        <f>IF($B195="","",COUNTA($B$4:$B195))</f>
        <v/>
      </c>
      <c r="B195" s="72" t="n"/>
      <c r="C195" s="18">
        <f>IF($B195="","",N($J194))</f>
        <v/>
      </c>
      <c r="D195" s="40" t="n"/>
      <c r="E195" s="18">
        <f>IF($B195="","",N($C195)+N($D195))</f>
        <v/>
      </c>
      <c r="F195" s="18">
        <f>IF($B195="","",SUMIFS('العهد والرحلات'!$J$4:$J$2003,'العهد والرحلات'!$B$4:$B$2003,$B195))</f>
        <v/>
      </c>
      <c r="G195" s="18">
        <f>IF($B195="","",SUMIFS('الإيصالات'!$C$4:$C$2003,'الإيصالات'!$B$4:$B$2003,$B195))</f>
        <v/>
      </c>
      <c r="H195" s="40" t="n"/>
      <c r="I195" s="18">
        <f>IF($B195="","",N($F195)+N($G195)+N($H195))</f>
        <v/>
      </c>
      <c r="J195" s="18">
        <f>IF($B195="","",N($E195)-N($I195))</f>
        <v/>
      </c>
    </row>
    <row r="196">
      <c r="A196" s="16">
        <f>IF($B196="","",COUNTA($B$4:$B196))</f>
        <v/>
      </c>
      <c r="B196" s="71" t="n"/>
      <c r="C196" s="18">
        <f>IF($B196="","",N($J195))</f>
        <v/>
      </c>
      <c r="D196" s="38" t="n"/>
      <c r="E196" s="18">
        <f>IF($B196="","",N($C196)+N($D196))</f>
        <v/>
      </c>
      <c r="F196" s="18">
        <f>IF($B196="","",SUMIFS('العهد والرحلات'!$J$4:$J$2003,'العهد والرحلات'!$B$4:$B$2003,$B196))</f>
        <v/>
      </c>
      <c r="G196" s="18">
        <f>IF($B196="","",SUMIFS('الإيصالات'!$C$4:$C$2003,'الإيصالات'!$B$4:$B$2003,$B196))</f>
        <v/>
      </c>
      <c r="H196" s="38" t="n"/>
      <c r="I196" s="18">
        <f>IF($B196="","",N($F196)+N($G196)+N($H196))</f>
        <v/>
      </c>
      <c r="J196" s="18">
        <f>IF($B196="","",N($E196)-N($I196))</f>
        <v/>
      </c>
    </row>
    <row r="197">
      <c r="A197" s="16">
        <f>IF($B197="","",COUNTA($B$4:$B197))</f>
        <v/>
      </c>
      <c r="B197" s="72" t="n"/>
      <c r="C197" s="18">
        <f>IF($B197="","",N($J196))</f>
        <v/>
      </c>
      <c r="D197" s="40" t="n"/>
      <c r="E197" s="18">
        <f>IF($B197="","",N($C197)+N($D197))</f>
        <v/>
      </c>
      <c r="F197" s="18">
        <f>IF($B197="","",SUMIFS('العهد والرحلات'!$J$4:$J$2003,'العهد والرحلات'!$B$4:$B$2003,$B197))</f>
        <v/>
      </c>
      <c r="G197" s="18">
        <f>IF($B197="","",SUMIFS('الإيصالات'!$C$4:$C$2003,'الإيصالات'!$B$4:$B$2003,$B197))</f>
        <v/>
      </c>
      <c r="H197" s="40" t="n"/>
      <c r="I197" s="18">
        <f>IF($B197="","",N($F197)+N($G197)+N($H197))</f>
        <v/>
      </c>
      <c r="J197" s="18">
        <f>IF($B197="","",N($E197)-N($I197))</f>
        <v/>
      </c>
    </row>
    <row r="198">
      <c r="A198" s="16">
        <f>IF($B198="","",COUNTA($B$4:$B198))</f>
        <v/>
      </c>
      <c r="B198" s="71" t="n"/>
      <c r="C198" s="18">
        <f>IF($B198="","",N($J197))</f>
        <v/>
      </c>
      <c r="D198" s="38" t="n"/>
      <c r="E198" s="18">
        <f>IF($B198="","",N($C198)+N($D198))</f>
        <v/>
      </c>
      <c r="F198" s="18">
        <f>IF($B198="","",SUMIFS('العهد والرحلات'!$J$4:$J$2003,'العهد والرحلات'!$B$4:$B$2003,$B198))</f>
        <v/>
      </c>
      <c r="G198" s="18">
        <f>IF($B198="","",SUMIFS('الإيصالات'!$C$4:$C$2003,'الإيصالات'!$B$4:$B$2003,$B198))</f>
        <v/>
      </c>
      <c r="H198" s="38" t="n"/>
      <c r="I198" s="18">
        <f>IF($B198="","",N($F198)+N($G198)+N($H198))</f>
        <v/>
      </c>
      <c r="J198" s="18">
        <f>IF($B198="","",N($E198)-N($I198))</f>
        <v/>
      </c>
    </row>
    <row r="199">
      <c r="A199" s="16">
        <f>IF($B199="","",COUNTA($B$4:$B199))</f>
        <v/>
      </c>
      <c r="B199" s="72" t="n"/>
      <c r="C199" s="18">
        <f>IF($B199="","",N($J198))</f>
        <v/>
      </c>
      <c r="D199" s="40" t="n"/>
      <c r="E199" s="18">
        <f>IF($B199="","",N($C199)+N($D199))</f>
        <v/>
      </c>
      <c r="F199" s="18">
        <f>IF($B199="","",SUMIFS('العهد والرحلات'!$J$4:$J$2003,'العهد والرحلات'!$B$4:$B$2003,$B199))</f>
        <v/>
      </c>
      <c r="G199" s="18">
        <f>IF($B199="","",SUMIFS('الإيصالات'!$C$4:$C$2003,'الإيصالات'!$B$4:$B$2003,$B199))</f>
        <v/>
      </c>
      <c r="H199" s="40" t="n"/>
      <c r="I199" s="18">
        <f>IF($B199="","",N($F199)+N($G199)+N($H199))</f>
        <v/>
      </c>
      <c r="J199" s="18">
        <f>IF($B199="","",N($E199)-N($I199))</f>
        <v/>
      </c>
    </row>
    <row r="200">
      <c r="A200" s="16">
        <f>IF($B200="","",COUNTA($B$4:$B200))</f>
        <v/>
      </c>
      <c r="B200" s="71" t="n"/>
      <c r="C200" s="18">
        <f>IF($B200="","",N($J199))</f>
        <v/>
      </c>
      <c r="D200" s="38" t="n"/>
      <c r="E200" s="18">
        <f>IF($B200="","",N($C200)+N($D200))</f>
        <v/>
      </c>
      <c r="F200" s="18">
        <f>IF($B200="","",SUMIFS('العهد والرحلات'!$J$4:$J$2003,'العهد والرحلات'!$B$4:$B$2003,$B200))</f>
        <v/>
      </c>
      <c r="G200" s="18">
        <f>IF($B200="","",SUMIFS('الإيصالات'!$C$4:$C$2003,'الإيصالات'!$B$4:$B$2003,$B200))</f>
        <v/>
      </c>
      <c r="H200" s="38" t="n"/>
      <c r="I200" s="18">
        <f>IF($B200="","",N($F200)+N($G200)+N($H200))</f>
        <v/>
      </c>
      <c r="J200" s="18">
        <f>IF($B200="","",N($E200)-N($I200))</f>
        <v/>
      </c>
    </row>
    <row r="201">
      <c r="A201" s="16">
        <f>IF($B201="","",COUNTA($B$4:$B201))</f>
        <v/>
      </c>
      <c r="B201" s="72" t="n"/>
      <c r="C201" s="18">
        <f>IF($B201="","",N($J200))</f>
        <v/>
      </c>
      <c r="D201" s="40" t="n"/>
      <c r="E201" s="18">
        <f>IF($B201="","",N($C201)+N($D201))</f>
        <v/>
      </c>
      <c r="F201" s="18">
        <f>IF($B201="","",SUMIFS('العهد والرحلات'!$J$4:$J$2003,'العهد والرحلات'!$B$4:$B$2003,$B201))</f>
        <v/>
      </c>
      <c r="G201" s="18">
        <f>IF($B201="","",SUMIFS('الإيصالات'!$C$4:$C$2003,'الإيصالات'!$B$4:$B$2003,$B201))</f>
        <v/>
      </c>
      <c r="H201" s="40" t="n"/>
      <c r="I201" s="18">
        <f>IF($B201="","",N($F201)+N($G201)+N($H201))</f>
        <v/>
      </c>
      <c r="J201" s="18">
        <f>IF($B201="","",N($E201)-N($I201))</f>
        <v/>
      </c>
    </row>
    <row r="202">
      <c r="A202" s="16">
        <f>IF($B202="","",COUNTA($B$4:$B202))</f>
        <v/>
      </c>
      <c r="B202" s="71" t="n"/>
      <c r="C202" s="18">
        <f>IF($B202="","",N($J201))</f>
        <v/>
      </c>
      <c r="D202" s="38" t="n"/>
      <c r="E202" s="18">
        <f>IF($B202="","",N($C202)+N($D202))</f>
        <v/>
      </c>
      <c r="F202" s="18">
        <f>IF($B202="","",SUMIFS('العهد والرحلات'!$J$4:$J$2003,'العهد والرحلات'!$B$4:$B$2003,$B202))</f>
        <v/>
      </c>
      <c r="G202" s="18">
        <f>IF($B202="","",SUMIFS('الإيصالات'!$C$4:$C$2003,'الإيصالات'!$B$4:$B$2003,$B202))</f>
        <v/>
      </c>
      <c r="H202" s="38" t="n"/>
      <c r="I202" s="18">
        <f>IF($B202="","",N($F202)+N($G202)+N($H202))</f>
        <v/>
      </c>
      <c r="J202" s="18">
        <f>IF($B202="","",N($E202)-N($I202))</f>
        <v/>
      </c>
    </row>
    <row r="203">
      <c r="A203" s="16">
        <f>IF($B203="","",COUNTA($B$4:$B203))</f>
        <v/>
      </c>
      <c r="B203" s="72" t="n"/>
      <c r="C203" s="18">
        <f>IF($B203="","",N($J202))</f>
        <v/>
      </c>
      <c r="D203" s="40" t="n"/>
      <c r="E203" s="18">
        <f>IF($B203="","",N($C203)+N($D203))</f>
        <v/>
      </c>
      <c r="F203" s="18">
        <f>IF($B203="","",SUMIFS('العهد والرحلات'!$J$4:$J$2003,'العهد والرحلات'!$B$4:$B$2003,$B203))</f>
        <v/>
      </c>
      <c r="G203" s="18">
        <f>IF($B203="","",SUMIFS('الإيصالات'!$C$4:$C$2003,'الإيصالات'!$B$4:$B$2003,$B203))</f>
        <v/>
      </c>
      <c r="H203" s="40" t="n"/>
      <c r="I203" s="18">
        <f>IF($B203="","",N($F203)+N($G203)+N($H203))</f>
        <v/>
      </c>
      <c r="J203" s="18">
        <f>IF($B203="","",N($E203)-N($I203))</f>
        <v/>
      </c>
    </row>
    <row r="204">
      <c r="A204" s="16">
        <f>IF($B204="","",COUNTA($B$4:$B204))</f>
        <v/>
      </c>
      <c r="B204" s="71" t="n"/>
      <c r="C204" s="18">
        <f>IF($B204="","",N($J203))</f>
        <v/>
      </c>
      <c r="D204" s="38" t="n"/>
      <c r="E204" s="18">
        <f>IF($B204="","",N($C204)+N($D204))</f>
        <v/>
      </c>
      <c r="F204" s="18">
        <f>IF($B204="","",SUMIFS('العهد والرحلات'!$J$4:$J$2003,'العهد والرحلات'!$B$4:$B$2003,$B204))</f>
        <v/>
      </c>
      <c r="G204" s="18">
        <f>IF($B204="","",SUMIFS('الإيصالات'!$C$4:$C$2003,'الإيصالات'!$B$4:$B$2003,$B204))</f>
        <v/>
      </c>
      <c r="H204" s="38" t="n"/>
      <c r="I204" s="18">
        <f>IF($B204="","",N($F204)+N($G204)+N($H204))</f>
        <v/>
      </c>
      <c r="J204" s="18">
        <f>IF($B204="","",N($E204)-N($I204))</f>
        <v/>
      </c>
    </row>
    <row r="205">
      <c r="A205" s="16">
        <f>IF($B205="","",COUNTA($B$4:$B205))</f>
        <v/>
      </c>
      <c r="B205" s="72" t="n"/>
      <c r="C205" s="18">
        <f>IF($B205="","",N($J204))</f>
        <v/>
      </c>
      <c r="D205" s="40" t="n"/>
      <c r="E205" s="18">
        <f>IF($B205="","",N($C205)+N($D205))</f>
        <v/>
      </c>
      <c r="F205" s="18">
        <f>IF($B205="","",SUMIFS('العهد والرحلات'!$J$4:$J$2003,'العهد والرحلات'!$B$4:$B$2003,$B205))</f>
        <v/>
      </c>
      <c r="G205" s="18">
        <f>IF($B205="","",SUMIFS('الإيصالات'!$C$4:$C$2003,'الإيصالات'!$B$4:$B$2003,$B205))</f>
        <v/>
      </c>
      <c r="H205" s="40" t="n"/>
      <c r="I205" s="18">
        <f>IF($B205="","",N($F205)+N($G205)+N($H205))</f>
        <v/>
      </c>
      <c r="J205" s="18">
        <f>IF($B205="","",N($E205)-N($I205))</f>
        <v/>
      </c>
    </row>
    <row r="206">
      <c r="A206" s="16">
        <f>IF($B206="","",COUNTA($B$4:$B206))</f>
        <v/>
      </c>
      <c r="B206" s="71" t="n"/>
      <c r="C206" s="18">
        <f>IF($B206="","",N($J205))</f>
        <v/>
      </c>
      <c r="D206" s="38" t="n"/>
      <c r="E206" s="18">
        <f>IF($B206="","",N($C206)+N($D206))</f>
        <v/>
      </c>
      <c r="F206" s="18">
        <f>IF($B206="","",SUMIFS('العهد والرحلات'!$J$4:$J$2003,'العهد والرحلات'!$B$4:$B$2003,$B206))</f>
        <v/>
      </c>
      <c r="G206" s="18">
        <f>IF($B206="","",SUMIFS('الإيصالات'!$C$4:$C$2003,'الإيصالات'!$B$4:$B$2003,$B206))</f>
        <v/>
      </c>
      <c r="H206" s="38" t="n"/>
      <c r="I206" s="18">
        <f>IF($B206="","",N($F206)+N($G206)+N($H206))</f>
        <v/>
      </c>
      <c r="J206" s="18">
        <f>IF($B206="","",N($E206)-N($I206))</f>
        <v/>
      </c>
    </row>
    <row r="207">
      <c r="A207" s="16">
        <f>IF($B207="","",COUNTA($B$4:$B207))</f>
        <v/>
      </c>
      <c r="B207" s="72" t="n"/>
      <c r="C207" s="18">
        <f>IF($B207="","",N($J206))</f>
        <v/>
      </c>
      <c r="D207" s="40" t="n"/>
      <c r="E207" s="18">
        <f>IF($B207="","",N($C207)+N($D207))</f>
        <v/>
      </c>
      <c r="F207" s="18">
        <f>IF($B207="","",SUMIFS('العهد والرحلات'!$J$4:$J$2003,'العهد والرحلات'!$B$4:$B$2003,$B207))</f>
        <v/>
      </c>
      <c r="G207" s="18">
        <f>IF($B207="","",SUMIFS('الإيصالات'!$C$4:$C$2003,'الإيصالات'!$B$4:$B$2003,$B207))</f>
        <v/>
      </c>
      <c r="H207" s="40" t="n"/>
      <c r="I207" s="18">
        <f>IF($B207="","",N($F207)+N($G207)+N($H207))</f>
        <v/>
      </c>
      <c r="J207" s="18">
        <f>IF($B207="","",N($E207)-N($I207))</f>
        <v/>
      </c>
    </row>
    <row r="208">
      <c r="A208" s="16">
        <f>IF($B208="","",COUNTA($B$4:$B208))</f>
        <v/>
      </c>
      <c r="B208" s="71" t="n"/>
      <c r="C208" s="18">
        <f>IF($B208="","",N($J207))</f>
        <v/>
      </c>
      <c r="D208" s="38" t="n"/>
      <c r="E208" s="18">
        <f>IF($B208="","",N($C208)+N($D208))</f>
        <v/>
      </c>
      <c r="F208" s="18">
        <f>IF($B208="","",SUMIFS('العهد والرحلات'!$J$4:$J$2003,'العهد والرحلات'!$B$4:$B$2003,$B208))</f>
        <v/>
      </c>
      <c r="G208" s="18">
        <f>IF($B208="","",SUMIFS('الإيصالات'!$C$4:$C$2003,'الإيصالات'!$B$4:$B$2003,$B208))</f>
        <v/>
      </c>
      <c r="H208" s="38" t="n"/>
      <c r="I208" s="18">
        <f>IF($B208="","",N($F208)+N($G208)+N($H208))</f>
        <v/>
      </c>
      <c r="J208" s="18">
        <f>IF($B208="","",N($E208)-N($I208))</f>
        <v/>
      </c>
    </row>
    <row r="209">
      <c r="A209" s="16">
        <f>IF($B209="","",COUNTA($B$4:$B209))</f>
        <v/>
      </c>
      <c r="B209" s="72" t="n"/>
      <c r="C209" s="18">
        <f>IF($B209="","",N($J208))</f>
        <v/>
      </c>
      <c r="D209" s="40" t="n"/>
      <c r="E209" s="18">
        <f>IF($B209="","",N($C209)+N($D209))</f>
        <v/>
      </c>
      <c r="F209" s="18">
        <f>IF($B209="","",SUMIFS('العهد والرحلات'!$J$4:$J$2003,'العهد والرحلات'!$B$4:$B$2003,$B209))</f>
        <v/>
      </c>
      <c r="G209" s="18">
        <f>IF($B209="","",SUMIFS('الإيصالات'!$C$4:$C$2003,'الإيصالات'!$B$4:$B$2003,$B209))</f>
        <v/>
      </c>
      <c r="H209" s="40" t="n"/>
      <c r="I209" s="18">
        <f>IF($B209="","",N($F209)+N($G209)+N($H209))</f>
        <v/>
      </c>
      <c r="J209" s="18">
        <f>IF($B209="","",N($E209)-N($I209))</f>
        <v/>
      </c>
    </row>
    <row r="210">
      <c r="A210" s="16">
        <f>IF($B210="","",COUNTA($B$4:$B210))</f>
        <v/>
      </c>
      <c r="B210" s="71" t="n"/>
      <c r="C210" s="18">
        <f>IF($B210="","",N($J209))</f>
        <v/>
      </c>
      <c r="D210" s="38" t="n"/>
      <c r="E210" s="18">
        <f>IF($B210="","",N($C210)+N($D210))</f>
        <v/>
      </c>
      <c r="F210" s="18">
        <f>IF($B210="","",SUMIFS('العهد والرحلات'!$J$4:$J$2003,'العهد والرحلات'!$B$4:$B$2003,$B210))</f>
        <v/>
      </c>
      <c r="G210" s="18">
        <f>IF($B210="","",SUMIFS('الإيصالات'!$C$4:$C$2003,'الإيصالات'!$B$4:$B$2003,$B210))</f>
        <v/>
      </c>
      <c r="H210" s="38" t="n"/>
      <c r="I210" s="18">
        <f>IF($B210="","",N($F210)+N($G210)+N($H210))</f>
        <v/>
      </c>
      <c r="J210" s="18">
        <f>IF($B210="","",N($E210)-N($I210))</f>
        <v/>
      </c>
    </row>
    <row r="211">
      <c r="A211" s="16">
        <f>IF($B211="","",COUNTA($B$4:$B211))</f>
        <v/>
      </c>
      <c r="B211" s="72" t="n"/>
      <c r="C211" s="18">
        <f>IF($B211="","",N($J210))</f>
        <v/>
      </c>
      <c r="D211" s="40" t="n"/>
      <c r="E211" s="18">
        <f>IF($B211="","",N($C211)+N($D211))</f>
        <v/>
      </c>
      <c r="F211" s="18">
        <f>IF($B211="","",SUMIFS('العهد والرحلات'!$J$4:$J$2003,'العهد والرحلات'!$B$4:$B$2003,$B211))</f>
        <v/>
      </c>
      <c r="G211" s="18">
        <f>IF($B211="","",SUMIFS('الإيصالات'!$C$4:$C$2003,'الإيصالات'!$B$4:$B$2003,$B211))</f>
        <v/>
      </c>
      <c r="H211" s="40" t="n"/>
      <c r="I211" s="18">
        <f>IF($B211="","",N($F211)+N($G211)+N($H211))</f>
        <v/>
      </c>
      <c r="J211" s="18">
        <f>IF($B211="","",N($E211)-N($I211))</f>
        <v/>
      </c>
    </row>
    <row r="212">
      <c r="A212" s="16">
        <f>IF($B212="","",COUNTA($B$4:$B212))</f>
        <v/>
      </c>
      <c r="B212" s="71" t="n"/>
      <c r="C212" s="18">
        <f>IF($B212="","",N($J211))</f>
        <v/>
      </c>
      <c r="D212" s="38" t="n"/>
      <c r="E212" s="18">
        <f>IF($B212="","",N($C212)+N($D212))</f>
        <v/>
      </c>
      <c r="F212" s="18">
        <f>IF($B212="","",SUMIFS('العهد والرحلات'!$J$4:$J$2003,'العهد والرحلات'!$B$4:$B$2003,$B212))</f>
        <v/>
      </c>
      <c r="G212" s="18">
        <f>IF($B212="","",SUMIFS('الإيصالات'!$C$4:$C$2003,'الإيصالات'!$B$4:$B$2003,$B212))</f>
        <v/>
      </c>
      <c r="H212" s="38" t="n"/>
      <c r="I212" s="18">
        <f>IF($B212="","",N($F212)+N($G212)+N($H212))</f>
        <v/>
      </c>
      <c r="J212" s="18">
        <f>IF($B212="","",N($E212)-N($I212))</f>
        <v/>
      </c>
    </row>
    <row r="213">
      <c r="A213" s="16">
        <f>IF($B213="","",COUNTA($B$4:$B213))</f>
        <v/>
      </c>
      <c r="B213" s="72" t="n"/>
      <c r="C213" s="18">
        <f>IF($B213="","",N($J212))</f>
        <v/>
      </c>
      <c r="D213" s="40" t="n"/>
      <c r="E213" s="18">
        <f>IF($B213="","",N($C213)+N($D213))</f>
        <v/>
      </c>
      <c r="F213" s="18">
        <f>IF($B213="","",SUMIFS('العهد والرحلات'!$J$4:$J$2003,'العهد والرحلات'!$B$4:$B$2003,$B213))</f>
        <v/>
      </c>
      <c r="G213" s="18">
        <f>IF($B213="","",SUMIFS('الإيصالات'!$C$4:$C$2003,'الإيصالات'!$B$4:$B$2003,$B213))</f>
        <v/>
      </c>
      <c r="H213" s="40" t="n"/>
      <c r="I213" s="18">
        <f>IF($B213="","",N($F213)+N($G213)+N($H213))</f>
        <v/>
      </c>
      <c r="J213" s="18">
        <f>IF($B213="","",N($E213)-N($I213))</f>
        <v/>
      </c>
    </row>
    <row r="214">
      <c r="A214" s="16">
        <f>IF($B214="","",COUNTA($B$4:$B214))</f>
        <v/>
      </c>
      <c r="B214" s="71" t="n"/>
      <c r="C214" s="18">
        <f>IF($B214="","",N($J213))</f>
        <v/>
      </c>
      <c r="D214" s="38" t="n"/>
      <c r="E214" s="18">
        <f>IF($B214="","",N($C214)+N($D214))</f>
        <v/>
      </c>
      <c r="F214" s="18">
        <f>IF($B214="","",SUMIFS('العهد والرحلات'!$J$4:$J$2003,'العهد والرحلات'!$B$4:$B$2003,$B214))</f>
        <v/>
      </c>
      <c r="G214" s="18">
        <f>IF($B214="","",SUMIFS('الإيصالات'!$C$4:$C$2003,'الإيصالات'!$B$4:$B$2003,$B214))</f>
        <v/>
      </c>
      <c r="H214" s="38" t="n"/>
      <c r="I214" s="18">
        <f>IF($B214="","",N($F214)+N($G214)+N($H214))</f>
        <v/>
      </c>
      <c r="J214" s="18">
        <f>IF($B214="","",N($E214)-N($I214))</f>
        <v/>
      </c>
    </row>
    <row r="215">
      <c r="A215" s="16">
        <f>IF($B215="","",COUNTA($B$4:$B215))</f>
        <v/>
      </c>
      <c r="B215" s="72" t="n"/>
      <c r="C215" s="18">
        <f>IF($B215="","",N($J214))</f>
        <v/>
      </c>
      <c r="D215" s="40" t="n"/>
      <c r="E215" s="18">
        <f>IF($B215="","",N($C215)+N($D215))</f>
        <v/>
      </c>
      <c r="F215" s="18">
        <f>IF($B215="","",SUMIFS('العهد والرحلات'!$J$4:$J$2003,'العهد والرحلات'!$B$4:$B$2003,$B215))</f>
        <v/>
      </c>
      <c r="G215" s="18">
        <f>IF($B215="","",SUMIFS('الإيصالات'!$C$4:$C$2003,'الإيصالات'!$B$4:$B$2003,$B215))</f>
        <v/>
      </c>
      <c r="H215" s="40" t="n"/>
      <c r="I215" s="18">
        <f>IF($B215="","",N($F215)+N($G215)+N($H215))</f>
        <v/>
      </c>
      <c r="J215" s="18">
        <f>IF($B215="","",N($E215)-N($I215))</f>
        <v/>
      </c>
    </row>
    <row r="216">
      <c r="A216" s="16">
        <f>IF($B216="","",COUNTA($B$4:$B216))</f>
        <v/>
      </c>
      <c r="B216" s="71" t="n"/>
      <c r="C216" s="18">
        <f>IF($B216="","",N($J215))</f>
        <v/>
      </c>
      <c r="D216" s="38" t="n"/>
      <c r="E216" s="18">
        <f>IF($B216="","",N($C216)+N($D216))</f>
        <v/>
      </c>
      <c r="F216" s="18">
        <f>IF($B216="","",SUMIFS('العهد والرحلات'!$J$4:$J$2003,'العهد والرحلات'!$B$4:$B$2003,$B216))</f>
        <v/>
      </c>
      <c r="G216" s="18">
        <f>IF($B216="","",SUMIFS('الإيصالات'!$C$4:$C$2003,'الإيصالات'!$B$4:$B$2003,$B216))</f>
        <v/>
      </c>
      <c r="H216" s="38" t="n"/>
      <c r="I216" s="18">
        <f>IF($B216="","",N($F216)+N($G216)+N($H216))</f>
        <v/>
      </c>
      <c r="J216" s="18">
        <f>IF($B216="","",N($E216)-N($I216))</f>
        <v/>
      </c>
    </row>
    <row r="217">
      <c r="A217" s="16">
        <f>IF($B217="","",COUNTA($B$4:$B217))</f>
        <v/>
      </c>
      <c r="B217" s="72" t="n"/>
      <c r="C217" s="18">
        <f>IF($B217="","",N($J216))</f>
        <v/>
      </c>
      <c r="D217" s="40" t="n"/>
      <c r="E217" s="18">
        <f>IF($B217="","",N($C217)+N($D217))</f>
        <v/>
      </c>
      <c r="F217" s="18">
        <f>IF($B217="","",SUMIFS('العهد والرحلات'!$J$4:$J$2003,'العهد والرحلات'!$B$4:$B$2003,$B217))</f>
        <v/>
      </c>
      <c r="G217" s="18">
        <f>IF($B217="","",SUMIFS('الإيصالات'!$C$4:$C$2003,'الإيصالات'!$B$4:$B$2003,$B217))</f>
        <v/>
      </c>
      <c r="H217" s="40" t="n"/>
      <c r="I217" s="18">
        <f>IF($B217="","",N($F217)+N($G217)+N($H217))</f>
        <v/>
      </c>
      <c r="J217" s="18">
        <f>IF($B217="","",N($E217)-N($I217))</f>
        <v/>
      </c>
    </row>
    <row r="218">
      <c r="A218" s="16">
        <f>IF($B218="","",COUNTA($B$4:$B218))</f>
        <v/>
      </c>
      <c r="B218" s="71" t="n"/>
      <c r="C218" s="18">
        <f>IF($B218="","",N($J217))</f>
        <v/>
      </c>
      <c r="D218" s="38" t="n"/>
      <c r="E218" s="18">
        <f>IF($B218="","",N($C218)+N($D218))</f>
        <v/>
      </c>
      <c r="F218" s="18">
        <f>IF($B218="","",SUMIFS('العهد والرحلات'!$J$4:$J$2003,'العهد والرحلات'!$B$4:$B$2003,$B218))</f>
        <v/>
      </c>
      <c r="G218" s="18">
        <f>IF($B218="","",SUMIFS('الإيصالات'!$C$4:$C$2003,'الإيصالات'!$B$4:$B$2003,$B218))</f>
        <v/>
      </c>
      <c r="H218" s="38" t="n"/>
      <c r="I218" s="18">
        <f>IF($B218="","",N($F218)+N($G218)+N($H218))</f>
        <v/>
      </c>
      <c r="J218" s="18">
        <f>IF($B218="","",N($E218)-N($I218))</f>
        <v/>
      </c>
    </row>
    <row r="219">
      <c r="A219" s="16">
        <f>IF($B219="","",COUNTA($B$4:$B219))</f>
        <v/>
      </c>
      <c r="B219" s="72" t="n"/>
      <c r="C219" s="18">
        <f>IF($B219="","",N($J218))</f>
        <v/>
      </c>
      <c r="D219" s="40" t="n"/>
      <c r="E219" s="18">
        <f>IF($B219="","",N($C219)+N($D219))</f>
        <v/>
      </c>
      <c r="F219" s="18">
        <f>IF($B219="","",SUMIFS('العهد والرحلات'!$J$4:$J$2003,'العهد والرحلات'!$B$4:$B$2003,$B219))</f>
        <v/>
      </c>
      <c r="G219" s="18">
        <f>IF($B219="","",SUMIFS('الإيصالات'!$C$4:$C$2003,'الإيصالات'!$B$4:$B$2003,$B219))</f>
        <v/>
      </c>
      <c r="H219" s="40" t="n"/>
      <c r="I219" s="18">
        <f>IF($B219="","",N($F219)+N($G219)+N($H219))</f>
        <v/>
      </c>
      <c r="J219" s="18">
        <f>IF($B219="","",N($E219)-N($I219))</f>
        <v/>
      </c>
    </row>
    <row r="220">
      <c r="A220" s="16">
        <f>IF($B220="","",COUNTA($B$4:$B220))</f>
        <v/>
      </c>
      <c r="B220" s="71" t="n"/>
      <c r="C220" s="18">
        <f>IF($B220="","",N($J219))</f>
        <v/>
      </c>
      <c r="D220" s="38" t="n"/>
      <c r="E220" s="18">
        <f>IF($B220="","",N($C220)+N($D220))</f>
        <v/>
      </c>
      <c r="F220" s="18">
        <f>IF($B220="","",SUMIFS('العهد والرحلات'!$J$4:$J$2003,'العهد والرحلات'!$B$4:$B$2003,$B220))</f>
        <v/>
      </c>
      <c r="G220" s="18">
        <f>IF($B220="","",SUMIFS('الإيصالات'!$C$4:$C$2003,'الإيصالات'!$B$4:$B$2003,$B220))</f>
        <v/>
      </c>
      <c r="H220" s="38" t="n"/>
      <c r="I220" s="18">
        <f>IF($B220="","",N($F220)+N($G220)+N($H220))</f>
        <v/>
      </c>
      <c r="J220" s="18">
        <f>IF($B220="","",N($E220)-N($I220))</f>
        <v/>
      </c>
    </row>
    <row r="221">
      <c r="A221" s="16">
        <f>IF($B221="","",COUNTA($B$4:$B221))</f>
        <v/>
      </c>
      <c r="B221" s="72" t="n"/>
      <c r="C221" s="18">
        <f>IF($B221="","",N($J220))</f>
        <v/>
      </c>
      <c r="D221" s="40" t="n"/>
      <c r="E221" s="18">
        <f>IF($B221="","",N($C221)+N($D221))</f>
        <v/>
      </c>
      <c r="F221" s="18">
        <f>IF($B221="","",SUMIFS('العهد والرحلات'!$J$4:$J$2003,'العهد والرحلات'!$B$4:$B$2003,$B221))</f>
        <v/>
      </c>
      <c r="G221" s="18">
        <f>IF($B221="","",SUMIFS('الإيصالات'!$C$4:$C$2003,'الإيصالات'!$B$4:$B$2003,$B221))</f>
        <v/>
      </c>
      <c r="H221" s="40" t="n"/>
      <c r="I221" s="18">
        <f>IF($B221="","",N($F221)+N($G221)+N($H221))</f>
        <v/>
      </c>
      <c r="J221" s="18">
        <f>IF($B221="","",N($E221)-N($I221))</f>
        <v/>
      </c>
    </row>
    <row r="222">
      <c r="A222" s="16">
        <f>IF($B222="","",COUNTA($B$4:$B222))</f>
        <v/>
      </c>
      <c r="B222" s="71" t="n"/>
      <c r="C222" s="18">
        <f>IF($B222="","",N($J221))</f>
        <v/>
      </c>
      <c r="D222" s="38" t="n"/>
      <c r="E222" s="18">
        <f>IF($B222="","",N($C222)+N($D222))</f>
        <v/>
      </c>
      <c r="F222" s="18">
        <f>IF($B222="","",SUMIFS('العهد والرحلات'!$J$4:$J$2003,'العهد والرحلات'!$B$4:$B$2003,$B222))</f>
        <v/>
      </c>
      <c r="G222" s="18">
        <f>IF($B222="","",SUMIFS('الإيصالات'!$C$4:$C$2003,'الإيصالات'!$B$4:$B$2003,$B222))</f>
        <v/>
      </c>
      <c r="H222" s="38" t="n"/>
      <c r="I222" s="18">
        <f>IF($B222="","",N($F222)+N($G222)+N($H222))</f>
        <v/>
      </c>
      <c r="J222" s="18">
        <f>IF($B222="","",N($E222)-N($I222))</f>
        <v/>
      </c>
    </row>
    <row r="223">
      <c r="A223" s="16">
        <f>IF($B223="","",COUNTA($B$4:$B223))</f>
        <v/>
      </c>
      <c r="B223" s="72" t="n"/>
      <c r="C223" s="18">
        <f>IF($B223="","",N($J222))</f>
        <v/>
      </c>
      <c r="D223" s="40" t="n"/>
      <c r="E223" s="18">
        <f>IF($B223="","",N($C223)+N($D223))</f>
        <v/>
      </c>
      <c r="F223" s="18">
        <f>IF($B223="","",SUMIFS('العهد والرحلات'!$J$4:$J$2003,'العهد والرحلات'!$B$4:$B$2003,$B223))</f>
        <v/>
      </c>
      <c r="G223" s="18">
        <f>IF($B223="","",SUMIFS('الإيصالات'!$C$4:$C$2003,'الإيصالات'!$B$4:$B$2003,$B223))</f>
        <v/>
      </c>
      <c r="H223" s="40" t="n"/>
      <c r="I223" s="18">
        <f>IF($B223="","",N($F223)+N($G223)+N($H223))</f>
        <v/>
      </c>
      <c r="J223" s="18">
        <f>IF($B223="","",N($E223)-N($I223))</f>
        <v/>
      </c>
    </row>
    <row r="224">
      <c r="A224" s="16">
        <f>IF($B224="","",COUNTA($B$4:$B224))</f>
        <v/>
      </c>
      <c r="B224" s="71" t="n"/>
      <c r="C224" s="18">
        <f>IF($B224="","",N($J223))</f>
        <v/>
      </c>
      <c r="D224" s="38" t="n"/>
      <c r="E224" s="18">
        <f>IF($B224="","",N($C224)+N($D224))</f>
        <v/>
      </c>
      <c r="F224" s="18">
        <f>IF($B224="","",SUMIFS('العهد والرحلات'!$J$4:$J$2003,'العهد والرحلات'!$B$4:$B$2003,$B224))</f>
        <v/>
      </c>
      <c r="G224" s="18">
        <f>IF($B224="","",SUMIFS('الإيصالات'!$C$4:$C$2003,'الإيصالات'!$B$4:$B$2003,$B224))</f>
        <v/>
      </c>
      <c r="H224" s="38" t="n"/>
      <c r="I224" s="18">
        <f>IF($B224="","",N($F224)+N($G224)+N($H224))</f>
        <v/>
      </c>
      <c r="J224" s="18">
        <f>IF($B224="","",N($E224)-N($I224))</f>
        <v/>
      </c>
    </row>
    <row r="225">
      <c r="A225" s="16">
        <f>IF($B225="","",COUNTA($B$4:$B225))</f>
        <v/>
      </c>
      <c r="B225" s="72" t="n"/>
      <c r="C225" s="18">
        <f>IF($B225="","",N($J224))</f>
        <v/>
      </c>
      <c r="D225" s="40" t="n"/>
      <c r="E225" s="18">
        <f>IF($B225="","",N($C225)+N($D225))</f>
        <v/>
      </c>
      <c r="F225" s="18">
        <f>IF($B225="","",SUMIFS('العهد والرحلات'!$J$4:$J$2003,'العهد والرحلات'!$B$4:$B$2003,$B225))</f>
        <v/>
      </c>
      <c r="G225" s="18">
        <f>IF($B225="","",SUMIFS('الإيصالات'!$C$4:$C$2003,'الإيصالات'!$B$4:$B$2003,$B225))</f>
        <v/>
      </c>
      <c r="H225" s="40" t="n"/>
      <c r="I225" s="18">
        <f>IF($B225="","",N($F225)+N($G225)+N($H225))</f>
        <v/>
      </c>
      <c r="J225" s="18">
        <f>IF($B225="","",N($E225)-N($I225))</f>
        <v/>
      </c>
    </row>
    <row r="226">
      <c r="A226" s="16">
        <f>IF($B226="","",COUNTA($B$4:$B226))</f>
        <v/>
      </c>
      <c r="B226" s="71" t="n"/>
      <c r="C226" s="18">
        <f>IF($B226="","",N($J225))</f>
        <v/>
      </c>
      <c r="D226" s="38" t="n"/>
      <c r="E226" s="18">
        <f>IF($B226="","",N($C226)+N($D226))</f>
        <v/>
      </c>
      <c r="F226" s="18">
        <f>IF($B226="","",SUMIFS('العهد والرحلات'!$J$4:$J$2003,'العهد والرحلات'!$B$4:$B$2003,$B226))</f>
        <v/>
      </c>
      <c r="G226" s="18">
        <f>IF($B226="","",SUMIFS('الإيصالات'!$C$4:$C$2003,'الإيصالات'!$B$4:$B$2003,$B226))</f>
        <v/>
      </c>
      <c r="H226" s="38" t="n"/>
      <c r="I226" s="18">
        <f>IF($B226="","",N($F226)+N($G226)+N($H226))</f>
        <v/>
      </c>
      <c r="J226" s="18">
        <f>IF($B226="","",N($E226)-N($I226))</f>
        <v/>
      </c>
    </row>
    <row r="227">
      <c r="A227" s="16">
        <f>IF($B227="","",COUNTA($B$4:$B227))</f>
        <v/>
      </c>
      <c r="B227" s="72" t="n"/>
      <c r="C227" s="18">
        <f>IF($B227="","",N($J226))</f>
        <v/>
      </c>
      <c r="D227" s="40" t="n"/>
      <c r="E227" s="18">
        <f>IF($B227="","",N($C227)+N($D227))</f>
        <v/>
      </c>
      <c r="F227" s="18">
        <f>IF($B227="","",SUMIFS('العهد والرحلات'!$J$4:$J$2003,'العهد والرحلات'!$B$4:$B$2003,$B227))</f>
        <v/>
      </c>
      <c r="G227" s="18">
        <f>IF($B227="","",SUMIFS('الإيصالات'!$C$4:$C$2003,'الإيصالات'!$B$4:$B$2003,$B227))</f>
        <v/>
      </c>
      <c r="H227" s="40" t="n"/>
      <c r="I227" s="18">
        <f>IF($B227="","",N($F227)+N($G227)+N($H227))</f>
        <v/>
      </c>
      <c r="J227" s="18">
        <f>IF($B227="","",N($E227)-N($I227))</f>
        <v/>
      </c>
    </row>
    <row r="228">
      <c r="A228" s="16">
        <f>IF($B228="","",COUNTA($B$4:$B228))</f>
        <v/>
      </c>
      <c r="B228" s="71" t="n"/>
      <c r="C228" s="18">
        <f>IF($B228="","",N($J227))</f>
        <v/>
      </c>
      <c r="D228" s="38" t="n"/>
      <c r="E228" s="18">
        <f>IF($B228="","",N($C228)+N($D228))</f>
        <v/>
      </c>
      <c r="F228" s="18">
        <f>IF($B228="","",SUMIFS('العهد والرحلات'!$J$4:$J$2003,'العهد والرحلات'!$B$4:$B$2003,$B228))</f>
        <v/>
      </c>
      <c r="G228" s="18">
        <f>IF($B228="","",SUMIFS('الإيصالات'!$C$4:$C$2003,'الإيصالات'!$B$4:$B$2003,$B228))</f>
        <v/>
      </c>
      <c r="H228" s="38" t="n"/>
      <c r="I228" s="18">
        <f>IF($B228="","",N($F228)+N($G228)+N($H228))</f>
        <v/>
      </c>
      <c r="J228" s="18">
        <f>IF($B228="","",N($E228)-N($I228))</f>
        <v/>
      </c>
    </row>
    <row r="229">
      <c r="A229" s="16">
        <f>IF($B229="","",COUNTA($B$4:$B229))</f>
        <v/>
      </c>
      <c r="B229" s="72" t="n"/>
      <c r="C229" s="18">
        <f>IF($B229="","",N($J228))</f>
        <v/>
      </c>
      <c r="D229" s="40" t="n"/>
      <c r="E229" s="18">
        <f>IF($B229="","",N($C229)+N($D229))</f>
        <v/>
      </c>
      <c r="F229" s="18">
        <f>IF($B229="","",SUMIFS('العهد والرحلات'!$J$4:$J$2003,'العهد والرحلات'!$B$4:$B$2003,$B229))</f>
        <v/>
      </c>
      <c r="G229" s="18">
        <f>IF($B229="","",SUMIFS('الإيصالات'!$C$4:$C$2003,'الإيصالات'!$B$4:$B$2003,$B229))</f>
        <v/>
      </c>
      <c r="H229" s="40" t="n"/>
      <c r="I229" s="18">
        <f>IF($B229="","",N($F229)+N($G229)+N($H229))</f>
        <v/>
      </c>
      <c r="J229" s="18">
        <f>IF($B229="","",N($E229)-N($I229))</f>
        <v/>
      </c>
    </row>
    <row r="230">
      <c r="A230" s="16">
        <f>IF($B230="","",COUNTA($B$4:$B230))</f>
        <v/>
      </c>
      <c r="B230" s="71" t="n"/>
      <c r="C230" s="18">
        <f>IF($B230="","",N($J229))</f>
        <v/>
      </c>
      <c r="D230" s="38" t="n"/>
      <c r="E230" s="18">
        <f>IF($B230="","",N($C230)+N($D230))</f>
        <v/>
      </c>
      <c r="F230" s="18">
        <f>IF($B230="","",SUMIFS('العهد والرحلات'!$J$4:$J$2003,'العهد والرحلات'!$B$4:$B$2003,$B230))</f>
        <v/>
      </c>
      <c r="G230" s="18">
        <f>IF($B230="","",SUMIFS('الإيصالات'!$C$4:$C$2003,'الإيصالات'!$B$4:$B$2003,$B230))</f>
        <v/>
      </c>
      <c r="H230" s="38" t="n"/>
      <c r="I230" s="18">
        <f>IF($B230="","",N($F230)+N($G230)+N($H230))</f>
        <v/>
      </c>
      <c r="J230" s="18">
        <f>IF($B230="","",N($E230)-N($I230))</f>
        <v/>
      </c>
    </row>
    <row r="231">
      <c r="A231" s="16">
        <f>IF($B231="","",COUNTA($B$4:$B231))</f>
        <v/>
      </c>
      <c r="B231" s="72" t="n"/>
      <c r="C231" s="18">
        <f>IF($B231="","",N($J230))</f>
        <v/>
      </c>
      <c r="D231" s="40" t="n"/>
      <c r="E231" s="18">
        <f>IF($B231="","",N($C231)+N($D231))</f>
        <v/>
      </c>
      <c r="F231" s="18">
        <f>IF($B231="","",SUMIFS('العهد والرحلات'!$J$4:$J$2003,'العهد والرحلات'!$B$4:$B$2003,$B231))</f>
        <v/>
      </c>
      <c r="G231" s="18">
        <f>IF($B231="","",SUMIFS('الإيصالات'!$C$4:$C$2003,'الإيصالات'!$B$4:$B$2003,$B231))</f>
        <v/>
      </c>
      <c r="H231" s="40" t="n"/>
      <c r="I231" s="18">
        <f>IF($B231="","",N($F231)+N($G231)+N($H231))</f>
        <v/>
      </c>
      <c r="J231" s="18">
        <f>IF($B231="","",N($E231)-N($I231))</f>
        <v/>
      </c>
    </row>
    <row r="232">
      <c r="A232" s="16">
        <f>IF($B232="","",COUNTA($B$4:$B232))</f>
        <v/>
      </c>
      <c r="B232" s="71" t="n"/>
      <c r="C232" s="18">
        <f>IF($B232="","",N($J231))</f>
        <v/>
      </c>
      <c r="D232" s="38" t="n"/>
      <c r="E232" s="18">
        <f>IF($B232="","",N($C232)+N($D232))</f>
        <v/>
      </c>
      <c r="F232" s="18">
        <f>IF($B232="","",SUMIFS('العهد والرحلات'!$J$4:$J$2003,'العهد والرحلات'!$B$4:$B$2003,$B232))</f>
        <v/>
      </c>
      <c r="G232" s="18">
        <f>IF($B232="","",SUMIFS('الإيصالات'!$C$4:$C$2003,'الإيصالات'!$B$4:$B$2003,$B232))</f>
        <v/>
      </c>
      <c r="H232" s="38" t="n"/>
      <c r="I232" s="18">
        <f>IF($B232="","",N($F232)+N($G232)+N($H232))</f>
        <v/>
      </c>
      <c r="J232" s="18">
        <f>IF($B232="","",N($E232)-N($I232))</f>
        <v/>
      </c>
    </row>
    <row r="233">
      <c r="A233" s="16">
        <f>IF($B233="","",COUNTA($B$4:$B233))</f>
        <v/>
      </c>
      <c r="B233" s="72" t="n"/>
      <c r="C233" s="18">
        <f>IF($B233="","",N($J232))</f>
        <v/>
      </c>
      <c r="D233" s="40" t="n"/>
      <c r="E233" s="18">
        <f>IF($B233="","",N($C233)+N($D233))</f>
        <v/>
      </c>
      <c r="F233" s="18">
        <f>IF($B233="","",SUMIFS('العهد والرحلات'!$J$4:$J$2003,'العهد والرحلات'!$B$4:$B$2003,$B233))</f>
        <v/>
      </c>
      <c r="G233" s="18">
        <f>IF($B233="","",SUMIFS('الإيصالات'!$C$4:$C$2003,'الإيصالات'!$B$4:$B$2003,$B233))</f>
        <v/>
      </c>
      <c r="H233" s="40" t="n"/>
      <c r="I233" s="18">
        <f>IF($B233="","",N($F233)+N($G233)+N($H233))</f>
        <v/>
      </c>
      <c r="J233" s="18">
        <f>IF($B233="","",N($E233)-N($I233))</f>
        <v/>
      </c>
    </row>
    <row r="234">
      <c r="A234" s="16">
        <f>IF($B234="","",COUNTA($B$4:$B234))</f>
        <v/>
      </c>
      <c r="B234" s="71" t="n"/>
      <c r="C234" s="18">
        <f>IF($B234="","",N($J233))</f>
        <v/>
      </c>
      <c r="D234" s="38" t="n"/>
      <c r="E234" s="18">
        <f>IF($B234="","",N($C234)+N($D234))</f>
        <v/>
      </c>
      <c r="F234" s="18">
        <f>IF($B234="","",SUMIFS('العهد والرحلات'!$J$4:$J$2003,'العهد والرحلات'!$B$4:$B$2003,$B234))</f>
        <v/>
      </c>
      <c r="G234" s="18">
        <f>IF($B234="","",SUMIFS('الإيصالات'!$C$4:$C$2003,'الإيصالات'!$B$4:$B$2003,$B234))</f>
        <v/>
      </c>
      <c r="H234" s="38" t="n"/>
      <c r="I234" s="18">
        <f>IF($B234="","",N($F234)+N($G234)+N($H234))</f>
        <v/>
      </c>
      <c r="J234" s="18">
        <f>IF($B234="","",N($E234)-N($I234))</f>
        <v/>
      </c>
    </row>
    <row r="235">
      <c r="A235" s="16">
        <f>IF($B235="","",COUNTA($B$4:$B235))</f>
        <v/>
      </c>
      <c r="B235" s="72" t="n"/>
      <c r="C235" s="18">
        <f>IF($B235="","",N($J234))</f>
        <v/>
      </c>
      <c r="D235" s="40" t="n"/>
      <c r="E235" s="18">
        <f>IF($B235="","",N($C235)+N($D235))</f>
        <v/>
      </c>
      <c r="F235" s="18">
        <f>IF($B235="","",SUMIFS('العهد والرحلات'!$J$4:$J$2003,'العهد والرحلات'!$B$4:$B$2003,$B235))</f>
        <v/>
      </c>
      <c r="G235" s="18">
        <f>IF($B235="","",SUMIFS('الإيصالات'!$C$4:$C$2003,'الإيصالات'!$B$4:$B$2003,$B235))</f>
        <v/>
      </c>
      <c r="H235" s="40" t="n"/>
      <c r="I235" s="18">
        <f>IF($B235="","",N($F235)+N($G235)+N($H235))</f>
        <v/>
      </c>
      <c r="J235" s="18">
        <f>IF($B235="","",N($E235)-N($I235))</f>
        <v/>
      </c>
    </row>
    <row r="236">
      <c r="A236" s="16">
        <f>IF($B236="","",COUNTA($B$4:$B236))</f>
        <v/>
      </c>
      <c r="B236" s="71" t="n"/>
      <c r="C236" s="18">
        <f>IF($B236="","",N($J235))</f>
        <v/>
      </c>
      <c r="D236" s="38" t="n"/>
      <c r="E236" s="18">
        <f>IF($B236="","",N($C236)+N($D236))</f>
        <v/>
      </c>
      <c r="F236" s="18">
        <f>IF($B236="","",SUMIFS('العهد والرحلات'!$J$4:$J$2003,'العهد والرحلات'!$B$4:$B$2003,$B236))</f>
        <v/>
      </c>
      <c r="G236" s="18">
        <f>IF($B236="","",SUMIFS('الإيصالات'!$C$4:$C$2003,'الإيصالات'!$B$4:$B$2003,$B236))</f>
        <v/>
      </c>
      <c r="H236" s="38" t="n"/>
      <c r="I236" s="18">
        <f>IF($B236="","",N($F236)+N($G236)+N($H236))</f>
        <v/>
      </c>
      <c r="J236" s="18">
        <f>IF($B236="","",N($E236)-N($I236))</f>
        <v/>
      </c>
    </row>
    <row r="237">
      <c r="A237" s="16">
        <f>IF($B237="","",COUNTA($B$4:$B237))</f>
        <v/>
      </c>
      <c r="B237" s="72" t="n"/>
      <c r="C237" s="18">
        <f>IF($B237="","",N($J236))</f>
        <v/>
      </c>
      <c r="D237" s="40" t="n"/>
      <c r="E237" s="18">
        <f>IF($B237="","",N($C237)+N($D237))</f>
        <v/>
      </c>
      <c r="F237" s="18">
        <f>IF($B237="","",SUMIFS('العهد والرحلات'!$J$4:$J$2003,'العهد والرحلات'!$B$4:$B$2003,$B237))</f>
        <v/>
      </c>
      <c r="G237" s="18">
        <f>IF($B237="","",SUMIFS('الإيصالات'!$C$4:$C$2003,'الإيصالات'!$B$4:$B$2003,$B237))</f>
        <v/>
      </c>
      <c r="H237" s="40" t="n"/>
      <c r="I237" s="18">
        <f>IF($B237="","",N($F237)+N($G237)+N($H237))</f>
        <v/>
      </c>
      <c r="J237" s="18">
        <f>IF($B237="","",N($E237)-N($I237))</f>
        <v/>
      </c>
    </row>
    <row r="238">
      <c r="A238" s="16">
        <f>IF($B238="","",COUNTA($B$4:$B238))</f>
        <v/>
      </c>
      <c r="B238" s="71" t="n"/>
      <c r="C238" s="18">
        <f>IF($B238="","",N($J237))</f>
        <v/>
      </c>
      <c r="D238" s="38" t="n"/>
      <c r="E238" s="18">
        <f>IF($B238="","",N($C238)+N($D238))</f>
        <v/>
      </c>
      <c r="F238" s="18">
        <f>IF($B238="","",SUMIFS('العهد والرحلات'!$J$4:$J$2003,'العهد والرحلات'!$B$4:$B$2003,$B238))</f>
        <v/>
      </c>
      <c r="G238" s="18">
        <f>IF($B238="","",SUMIFS('الإيصالات'!$C$4:$C$2003,'الإيصالات'!$B$4:$B$2003,$B238))</f>
        <v/>
      </c>
      <c r="H238" s="38" t="n"/>
      <c r="I238" s="18">
        <f>IF($B238="","",N($F238)+N($G238)+N($H238))</f>
        <v/>
      </c>
      <c r="J238" s="18">
        <f>IF($B238="","",N($E238)-N($I238))</f>
        <v/>
      </c>
    </row>
    <row r="239">
      <c r="A239" s="16">
        <f>IF($B239="","",COUNTA($B$4:$B239))</f>
        <v/>
      </c>
      <c r="B239" s="72" t="n"/>
      <c r="C239" s="18">
        <f>IF($B239="","",N($J238))</f>
        <v/>
      </c>
      <c r="D239" s="40" t="n"/>
      <c r="E239" s="18">
        <f>IF($B239="","",N($C239)+N($D239))</f>
        <v/>
      </c>
      <c r="F239" s="18">
        <f>IF($B239="","",SUMIFS('العهد والرحلات'!$J$4:$J$2003,'العهد والرحلات'!$B$4:$B$2003,$B239))</f>
        <v/>
      </c>
      <c r="G239" s="18">
        <f>IF($B239="","",SUMIFS('الإيصالات'!$C$4:$C$2003,'الإيصالات'!$B$4:$B$2003,$B239))</f>
        <v/>
      </c>
      <c r="H239" s="40" t="n"/>
      <c r="I239" s="18">
        <f>IF($B239="","",N($F239)+N($G239)+N($H239))</f>
        <v/>
      </c>
      <c r="J239" s="18">
        <f>IF($B239="","",N($E239)-N($I239))</f>
        <v/>
      </c>
    </row>
    <row r="240">
      <c r="A240" s="16">
        <f>IF($B240="","",COUNTA($B$4:$B240))</f>
        <v/>
      </c>
      <c r="B240" s="71" t="n"/>
      <c r="C240" s="18">
        <f>IF($B240="","",N($J239))</f>
        <v/>
      </c>
      <c r="D240" s="38" t="n"/>
      <c r="E240" s="18">
        <f>IF($B240="","",N($C240)+N($D240))</f>
        <v/>
      </c>
      <c r="F240" s="18">
        <f>IF($B240="","",SUMIFS('العهد والرحلات'!$J$4:$J$2003,'العهد والرحلات'!$B$4:$B$2003,$B240))</f>
        <v/>
      </c>
      <c r="G240" s="18">
        <f>IF($B240="","",SUMIFS('الإيصالات'!$C$4:$C$2003,'الإيصالات'!$B$4:$B$2003,$B240))</f>
        <v/>
      </c>
      <c r="H240" s="38" t="n"/>
      <c r="I240" s="18">
        <f>IF($B240="","",N($F240)+N($G240)+N($H240))</f>
        <v/>
      </c>
      <c r="J240" s="18">
        <f>IF($B240="","",N($E240)-N($I240))</f>
        <v/>
      </c>
    </row>
    <row r="241">
      <c r="A241" s="16">
        <f>IF($B241="","",COUNTA($B$4:$B241))</f>
        <v/>
      </c>
      <c r="B241" s="72" t="n"/>
      <c r="C241" s="18">
        <f>IF($B241="","",N($J240))</f>
        <v/>
      </c>
      <c r="D241" s="40" t="n"/>
      <c r="E241" s="18">
        <f>IF($B241="","",N($C241)+N($D241))</f>
        <v/>
      </c>
      <c r="F241" s="18">
        <f>IF($B241="","",SUMIFS('العهد والرحلات'!$J$4:$J$2003,'العهد والرحلات'!$B$4:$B$2003,$B241))</f>
        <v/>
      </c>
      <c r="G241" s="18">
        <f>IF($B241="","",SUMIFS('الإيصالات'!$C$4:$C$2003,'الإيصالات'!$B$4:$B$2003,$B241))</f>
        <v/>
      </c>
      <c r="H241" s="40" t="n"/>
      <c r="I241" s="18">
        <f>IF($B241="","",N($F241)+N($G241)+N($H241))</f>
        <v/>
      </c>
      <c r="J241" s="18">
        <f>IF($B241="","",N($E241)-N($I241))</f>
        <v/>
      </c>
    </row>
    <row r="242">
      <c r="A242" s="16">
        <f>IF($B242="","",COUNTA($B$4:$B242))</f>
        <v/>
      </c>
      <c r="B242" s="71" t="n"/>
      <c r="C242" s="18">
        <f>IF($B242="","",N($J241))</f>
        <v/>
      </c>
      <c r="D242" s="38" t="n"/>
      <c r="E242" s="18">
        <f>IF($B242="","",N($C242)+N($D242))</f>
        <v/>
      </c>
      <c r="F242" s="18">
        <f>IF($B242="","",SUMIFS('العهد والرحلات'!$J$4:$J$2003,'العهد والرحلات'!$B$4:$B$2003,$B242))</f>
        <v/>
      </c>
      <c r="G242" s="18">
        <f>IF($B242="","",SUMIFS('الإيصالات'!$C$4:$C$2003,'الإيصالات'!$B$4:$B$2003,$B242))</f>
        <v/>
      </c>
      <c r="H242" s="38" t="n"/>
      <c r="I242" s="18">
        <f>IF($B242="","",N($F242)+N($G242)+N($H242))</f>
        <v/>
      </c>
      <c r="J242" s="18">
        <f>IF($B242="","",N($E242)-N($I242))</f>
        <v/>
      </c>
    </row>
    <row r="243">
      <c r="A243" s="16">
        <f>IF($B243="","",COUNTA($B$4:$B243))</f>
        <v/>
      </c>
      <c r="B243" s="72" t="n"/>
      <c r="C243" s="18">
        <f>IF($B243="","",N($J242))</f>
        <v/>
      </c>
      <c r="D243" s="40" t="n"/>
      <c r="E243" s="18">
        <f>IF($B243="","",N($C243)+N($D243))</f>
        <v/>
      </c>
      <c r="F243" s="18">
        <f>IF($B243="","",SUMIFS('العهد والرحلات'!$J$4:$J$2003,'العهد والرحلات'!$B$4:$B$2003,$B243))</f>
        <v/>
      </c>
      <c r="G243" s="18">
        <f>IF($B243="","",SUMIFS('الإيصالات'!$C$4:$C$2003,'الإيصالات'!$B$4:$B$2003,$B243))</f>
        <v/>
      </c>
      <c r="H243" s="40" t="n"/>
      <c r="I243" s="18">
        <f>IF($B243="","",N($F243)+N($G243)+N($H243))</f>
        <v/>
      </c>
      <c r="J243" s="18">
        <f>IF($B243="","",N($E243)-N($I243))</f>
        <v/>
      </c>
    </row>
    <row r="244">
      <c r="A244" s="16">
        <f>IF($B244="","",COUNTA($B$4:$B244))</f>
        <v/>
      </c>
      <c r="B244" s="71" t="n"/>
      <c r="C244" s="18">
        <f>IF($B244="","",N($J243))</f>
        <v/>
      </c>
      <c r="D244" s="38" t="n"/>
      <c r="E244" s="18">
        <f>IF($B244="","",N($C244)+N($D244))</f>
        <v/>
      </c>
      <c r="F244" s="18">
        <f>IF($B244="","",SUMIFS('العهد والرحلات'!$J$4:$J$2003,'العهد والرحلات'!$B$4:$B$2003,$B244))</f>
        <v/>
      </c>
      <c r="G244" s="18">
        <f>IF($B244="","",SUMIFS('الإيصالات'!$C$4:$C$2003,'الإيصالات'!$B$4:$B$2003,$B244))</f>
        <v/>
      </c>
      <c r="H244" s="38" t="n"/>
      <c r="I244" s="18">
        <f>IF($B244="","",N($F244)+N($G244)+N($H244))</f>
        <v/>
      </c>
      <c r="J244" s="18">
        <f>IF($B244="","",N($E244)-N($I244))</f>
        <v/>
      </c>
    </row>
    <row r="245">
      <c r="A245" s="16">
        <f>IF($B245="","",COUNTA($B$4:$B245))</f>
        <v/>
      </c>
      <c r="B245" s="72" t="n"/>
      <c r="C245" s="18">
        <f>IF($B245="","",N($J244))</f>
        <v/>
      </c>
      <c r="D245" s="40" t="n"/>
      <c r="E245" s="18">
        <f>IF($B245="","",N($C245)+N($D245))</f>
        <v/>
      </c>
      <c r="F245" s="18">
        <f>IF($B245="","",SUMIFS('العهد والرحلات'!$J$4:$J$2003,'العهد والرحلات'!$B$4:$B$2003,$B245))</f>
        <v/>
      </c>
      <c r="G245" s="18">
        <f>IF($B245="","",SUMIFS('الإيصالات'!$C$4:$C$2003,'الإيصالات'!$B$4:$B$2003,$B245))</f>
        <v/>
      </c>
      <c r="H245" s="40" t="n"/>
      <c r="I245" s="18">
        <f>IF($B245="","",N($F245)+N($G245)+N($H245))</f>
        <v/>
      </c>
      <c r="J245" s="18">
        <f>IF($B245="","",N($E245)-N($I245))</f>
        <v/>
      </c>
    </row>
    <row r="246">
      <c r="A246" s="16">
        <f>IF($B246="","",COUNTA($B$4:$B246))</f>
        <v/>
      </c>
      <c r="B246" s="71" t="n"/>
      <c r="C246" s="18">
        <f>IF($B246="","",N($J245))</f>
        <v/>
      </c>
      <c r="D246" s="38" t="n"/>
      <c r="E246" s="18">
        <f>IF($B246="","",N($C246)+N($D246))</f>
        <v/>
      </c>
      <c r="F246" s="18">
        <f>IF($B246="","",SUMIFS('العهد والرحلات'!$J$4:$J$2003,'العهد والرحلات'!$B$4:$B$2003,$B246))</f>
        <v/>
      </c>
      <c r="G246" s="18">
        <f>IF($B246="","",SUMIFS('الإيصالات'!$C$4:$C$2003,'الإيصالات'!$B$4:$B$2003,$B246))</f>
        <v/>
      </c>
      <c r="H246" s="38" t="n"/>
      <c r="I246" s="18">
        <f>IF($B246="","",N($F246)+N($G246)+N($H246))</f>
        <v/>
      </c>
      <c r="J246" s="18">
        <f>IF($B246="","",N($E246)-N($I246))</f>
        <v/>
      </c>
    </row>
    <row r="247">
      <c r="A247" s="16">
        <f>IF($B247="","",COUNTA($B$4:$B247))</f>
        <v/>
      </c>
      <c r="B247" s="72" t="n"/>
      <c r="C247" s="18">
        <f>IF($B247="","",N($J246))</f>
        <v/>
      </c>
      <c r="D247" s="40" t="n"/>
      <c r="E247" s="18">
        <f>IF($B247="","",N($C247)+N($D247))</f>
        <v/>
      </c>
      <c r="F247" s="18">
        <f>IF($B247="","",SUMIFS('العهد والرحلات'!$J$4:$J$2003,'العهد والرحلات'!$B$4:$B$2003,$B247))</f>
        <v/>
      </c>
      <c r="G247" s="18">
        <f>IF($B247="","",SUMIFS('الإيصالات'!$C$4:$C$2003,'الإيصالات'!$B$4:$B$2003,$B247))</f>
        <v/>
      </c>
      <c r="H247" s="40" t="n"/>
      <c r="I247" s="18">
        <f>IF($B247="","",N($F247)+N($G247)+N($H247))</f>
        <v/>
      </c>
      <c r="J247" s="18">
        <f>IF($B247="","",N($E247)-N($I247))</f>
        <v/>
      </c>
    </row>
    <row r="248">
      <c r="A248" s="16">
        <f>IF($B248="","",COUNTA($B$4:$B248))</f>
        <v/>
      </c>
      <c r="B248" s="71" t="n"/>
      <c r="C248" s="18">
        <f>IF($B248="","",N($J247))</f>
        <v/>
      </c>
      <c r="D248" s="38" t="n"/>
      <c r="E248" s="18">
        <f>IF($B248="","",N($C248)+N($D248))</f>
        <v/>
      </c>
      <c r="F248" s="18">
        <f>IF($B248="","",SUMIFS('العهد والرحلات'!$J$4:$J$2003,'العهد والرحلات'!$B$4:$B$2003,$B248))</f>
        <v/>
      </c>
      <c r="G248" s="18">
        <f>IF($B248="","",SUMIFS('الإيصالات'!$C$4:$C$2003,'الإيصالات'!$B$4:$B$2003,$B248))</f>
        <v/>
      </c>
      <c r="H248" s="38" t="n"/>
      <c r="I248" s="18">
        <f>IF($B248="","",N($F248)+N($G248)+N($H248))</f>
        <v/>
      </c>
      <c r="J248" s="18">
        <f>IF($B248="","",N($E248)-N($I248))</f>
        <v/>
      </c>
    </row>
    <row r="249">
      <c r="A249" s="16">
        <f>IF($B249="","",COUNTA($B$4:$B249))</f>
        <v/>
      </c>
      <c r="B249" s="72" t="n"/>
      <c r="C249" s="18">
        <f>IF($B249="","",N($J248))</f>
        <v/>
      </c>
      <c r="D249" s="40" t="n"/>
      <c r="E249" s="18">
        <f>IF($B249="","",N($C249)+N($D249))</f>
        <v/>
      </c>
      <c r="F249" s="18">
        <f>IF($B249="","",SUMIFS('العهد والرحلات'!$J$4:$J$2003,'العهد والرحلات'!$B$4:$B$2003,$B249))</f>
        <v/>
      </c>
      <c r="G249" s="18">
        <f>IF($B249="","",SUMIFS('الإيصالات'!$C$4:$C$2003,'الإيصالات'!$B$4:$B$2003,$B249))</f>
        <v/>
      </c>
      <c r="H249" s="40" t="n"/>
      <c r="I249" s="18">
        <f>IF($B249="","",N($F249)+N($G249)+N($H249))</f>
        <v/>
      </c>
      <c r="J249" s="18">
        <f>IF($B249="","",N($E249)-N($I249))</f>
        <v/>
      </c>
    </row>
    <row r="250">
      <c r="A250" s="16">
        <f>IF($B250="","",COUNTA($B$4:$B250))</f>
        <v/>
      </c>
      <c r="B250" s="71" t="n"/>
      <c r="C250" s="18">
        <f>IF($B250="","",N($J249))</f>
        <v/>
      </c>
      <c r="D250" s="38" t="n"/>
      <c r="E250" s="18">
        <f>IF($B250="","",N($C250)+N($D250))</f>
        <v/>
      </c>
      <c r="F250" s="18">
        <f>IF($B250="","",SUMIFS('العهد والرحلات'!$J$4:$J$2003,'العهد والرحلات'!$B$4:$B$2003,$B250))</f>
        <v/>
      </c>
      <c r="G250" s="18">
        <f>IF($B250="","",SUMIFS('الإيصالات'!$C$4:$C$2003,'الإيصالات'!$B$4:$B$2003,$B250))</f>
        <v/>
      </c>
      <c r="H250" s="38" t="n"/>
      <c r="I250" s="18">
        <f>IF($B250="","",N($F250)+N($G250)+N($H250))</f>
        <v/>
      </c>
      <c r="J250" s="18">
        <f>IF($B250="","",N($E250)-N($I250))</f>
        <v/>
      </c>
    </row>
    <row r="251">
      <c r="A251" s="16">
        <f>IF($B251="","",COUNTA($B$4:$B251))</f>
        <v/>
      </c>
      <c r="B251" s="72" t="n"/>
      <c r="C251" s="18">
        <f>IF($B251="","",N($J250))</f>
        <v/>
      </c>
      <c r="D251" s="40" t="n"/>
      <c r="E251" s="18">
        <f>IF($B251="","",N($C251)+N($D251))</f>
        <v/>
      </c>
      <c r="F251" s="18">
        <f>IF($B251="","",SUMIFS('العهد والرحلات'!$J$4:$J$2003,'العهد والرحلات'!$B$4:$B$2003,$B251))</f>
        <v/>
      </c>
      <c r="G251" s="18">
        <f>IF($B251="","",SUMIFS('الإيصالات'!$C$4:$C$2003,'الإيصالات'!$B$4:$B$2003,$B251))</f>
        <v/>
      </c>
      <c r="H251" s="40" t="n"/>
      <c r="I251" s="18">
        <f>IF($B251="","",N($F251)+N($G251)+N($H251))</f>
        <v/>
      </c>
      <c r="J251" s="18">
        <f>IF($B251="","",N($E251)-N($I251))</f>
        <v/>
      </c>
    </row>
    <row r="252">
      <c r="A252" s="16">
        <f>IF($B252="","",COUNTA($B$4:$B252))</f>
        <v/>
      </c>
      <c r="B252" s="71" t="n"/>
      <c r="C252" s="18">
        <f>IF($B252="","",N($J251))</f>
        <v/>
      </c>
      <c r="D252" s="38" t="n"/>
      <c r="E252" s="18">
        <f>IF($B252="","",N($C252)+N($D252))</f>
        <v/>
      </c>
      <c r="F252" s="18">
        <f>IF($B252="","",SUMIFS('العهد والرحلات'!$J$4:$J$2003,'العهد والرحلات'!$B$4:$B$2003,$B252))</f>
        <v/>
      </c>
      <c r="G252" s="18">
        <f>IF($B252="","",SUMIFS('الإيصالات'!$C$4:$C$2003,'الإيصالات'!$B$4:$B$2003,$B252))</f>
        <v/>
      </c>
      <c r="H252" s="38" t="n"/>
      <c r="I252" s="18">
        <f>IF($B252="","",N($F252)+N($G252)+N($H252))</f>
        <v/>
      </c>
      <c r="J252" s="18">
        <f>IF($B252="","",N($E252)-N($I252))</f>
        <v/>
      </c>
    </row>
    <row r="253">
      <c r="A253" s="16">
        <f>IF($B253="","",COUNTA($B$4:$B253))</f>
        <v/>
      </c>
      <c r="B253" s="72" t="n"/>
      <c r="C253" s="18">
        <f>IF($B253="","",N($J252))</f>
        <v/>
      </c>
      <c r="D253" s="40" t="n"/>
      <c r="E253" s="18">
        <f>IF($B253="","",N($C253)+N($D253))</f>
        <v/>
      </c>
      <c r="F253" s="18">
        <f>IF($B253="","",SUMIFS('العهد والرحلات'!$J$4:$J$2003,'العهد والرحلات'!$B$4:$B$2003,$B253))</f>
        <v/>
      </c>
      <c r="G253" s="18">
        <f>IF($B253="","",SUMIFS('الإيصالات'!$C$4:$C$2003,'الإيصالات'!$B$4:$B$2003,$B253))</f>
        <v/>
      </c>
      <c r="H253" s="40" t="n"/>
      <c r="I253" s="18">
        <f>IF($B253="","",N($F253)+N($G253)+N($H253))</f>
        <v/>
      </c>
      <c r="J253" s="18">
        <f>IF($B253="","",N($E253)-N($I253))</f>
        <v/>
      </c>
    </row>
    <row r="254">
      <c r="A254" s="16">
        <f>IF($B254="","",COUNTA($B$4:$B254))</f>
        <v/>
      </c>
      <c r="B254" s="71" t="n"/>
      <c r="C254" s="18">
        <f>IF($B254="","",N($J253))</f>
        <v/>
      </c>
      <c r="D254" s="38" t="n"/>
      <c r="E254" s="18">
        <f>IF($B254="","",N($C254)+N($D254))</f>
        <v/>
      </c>
      <c r="F254" s="18">
        <f>IF($B254="","",SUMIFS('العهد والرحلات'!$J$4:$J$2003,'العهد والرحلات'!$B$4:$B$2003,$B254))</f>
        <v/>
      </c>
      <c r="G254" s="18">
        <f>IF($B254="","",SUMIFS('الإيصالات'!$C$4:$C$2003,'الإيصالات'!$B$4:$B$2003,$B254))</f>
        <v/>
      </c>
      <c r="H254" s="38" t="n"/>
      <c r="I254" s="18">
        <f>IF($B254="","",N($F254)+N($G254)+N($H254))</f>
        <v/>
      </c>
      <c r="J254" s="18">
        <f>IF($B254="","",N($E254)-N($I254))</f>
        <v/>
      </c>
    </row>
    <row r="255">
      <c r="A255" s="16">
        <f>IF($B255="","",COUNTA($B$4:$B255))</f>
        <v/>
      </c>
      <c r="B255" s="72" t="n"/>
      <c r="C255" s="18">
        <f>IF($B255="","",N($J254))</f>
        <v/>
      </c>
      <c r="D255" s="40" t="n"/>
      <c r="E255" s="18">
        <f>IF($B255="","",N($C255)+N($D255))</f>
        <v/>
      </c>
      <c r="F255" s="18">
        <f>IF($B255="","",SUMIFS('العهد والرحلات'!$J$4:$J$2003,'العهد والرحلات'!$B$4:$B$2003,$B255))</f>
        <v/>
      </c>
      <c r="G255" s="18">
        <f>IF($B255="","",SUMIFS('الإيصالات'!$C$4:$C$2003,'الإيصالات'!$B$4:$B$2003,$B255))</f>
        <v/>
      </c>
      <c r="H255" s="40" t="n"/>
      <c r="I255" s="18">
        <f>IF($B255="","",N($F255)+N($G255)+N($H255))</f>
        <v/>
      </c>
      <c r="J255" s="18">
        <f>IF($B255="","",N($E255)-N($I255))</f>
        <v/>
      </c>
    </row>
    <row r="256">
      <c r="A256" s="16">
        <f>IF($B256="","",COUNTA($B$4:$B256))</f>
        <v/>
      </c>
      <c r="B256" s="71" t="n"/>
      <c r="C256" s="18">
        <f>IF($B256="","",N($J255))</f>
        <v/>
      </c>
      <c r="D256" s="38" t="n"/>
      <c r="E256" s="18">
        <f>IF($B256="","",N($C256)+N($D256))</f>
        <v/>
      </c>
      <c r="F256" s="18">
        <f>IF($B256="","",SUMIFS('العهد والرحلات'!$J$4:$J$2003,'العهد والرحلات'!$B$4:$B$2003,$B256))</f>
        <v/>
      </c>
      <c r="G256" s="18">
        <f>IF($B256="","",SUMIFS('الإيصالات'!$C$4:$C$2003,'الإيصالات'!$B$4:$B$2003,$B256))</f>
        <v/>
      </c>
      <c r="H256" s="38" t="n"/>
      <c r="I256" s="18">
        <f>IF($B256="","",N($F256)+N($G256)+N($H256))</f>
        <v/>
      </c>
      <c r="J256" s="18">
        <f>IF($B256="","",N($E256)-N($I256))</f>
        <v/>
      </c>
    </row>
    <row r="257">
      <c r="A257" s="16">
        <f>IF($B257="","",COUNTA($B$4:$B257))</f>
        <v/>
      </c>
      <c r="B257" s="72" t="n"/>
      <c r="C257" s="18">
        <f>IF($B257="","",N($J256))</f>
        <v/>
      </c>
      <c r="D257" s="40" t="n"/>
      <c r="E257" s="18">
        <f>IF($B257="","",N($C257)+N($D257))</f>
        <v/>
      </c>
      <c r="F257" s="18">
        <f>IF($B257="","",SUMIFS('العهد والرحلات'!$J$4:$J$2003,'العهد والرحلات'!$B$4:$B$2003,$B257))</f>
        <v/>
      </c>
      <c r="G257" s="18">
        <f>IF($B257="","",SUMIFS('الإيصالات'!$C$4:$C$2003,'الإيصالات'!$B$4:$B$2003,$B257))</f>
        <v/>
      </c>
      <c r="H257" s="40" t="n"/>
      <c r="I257" s="18">
        <f>IF($B257="","",N($F257)+N($G257)+N($H257))</f>
        <v/>
      </c>
      <c r="J257" s="18">
        <f>IF($B257="","",N($E257)-N($I257))</f>
        <v/>
      </c>
    </row>
    <row r="258">
      <c r="A258" s="16">
        <f>IF($B258="","",COUNTA($B$4:$B258))</f>
        <v/>
      </c>
      <c r="B258" s="71" t="n"/>
      <c r="C258" s="18">
        <f>IF($B258="","",N($J257))</f>
        <v/>
      </c>
      <c r="D258" s="38" t="n"/>
      <c r="E258" s="18">
        <f>IF($B258="","",N($C258)+N($D258))</f>
        <v/>
      </c>
      <c r="F258" s="18">
        <f>IF($B258="","",SUMIFS('العهد والرحلات'!$J$4:$J$2003,'العهد والرحلات'!$B$4:$B$2003,$B258))</f>
        <v/>
      </c>
      <c r="G258" s="18">
        <f>IF($B258="","",SUMIFS('الإيصالات'!$C$4:$C$2003,'الإيصالات'!$B$4:$B$2003,$B258))</f>
        <v/>
      </c>
      <c r="H258" s="38" t="n"/>
      <c r="I258" s="18">
        <f>IF($B258="","",N($F258)+N($G258)+N($H258))</f>
        <v/>
      </c>
      <c r="J258" s="18">
        <f>IF($B258="","",N($E258)-N($I258))</f>
        <v/>
      </c>
    </row>
    <row r="259">
      <c r="A259" s="16">
        <f>IF($B259="","",COUNTA($B$4:$B259))</f>
        <v/>
      </c>
      <c r="B259" s="72" t="n"/>
      <c r="C259" s="18">
        <f>IF($B259="","",N($J258))</f>
        <v/>
      </c>
      <c r="D259" s="40" t="n"/>
      <c r="E259" s="18">
        <f>IF($B259="","",N($C259)+N($D259))</f>
        <v/>
      </c>
      <c r="F259" s="18">
        <f>IF($B259="","",SUMIFS('العهد والرحلات'!$J$4:$J$2003,'العهد والرحلات'!$B$4:$B$2003,$B259))</f>
        <v/>
      </c>
      <c r="G259" s="18">
        <f>IF($B259="","",SUMIFS('الإيصالات'!$C$4:$C$2003,'الإيصالات'!$B$4:$B$2003,$B259))</f>
        <v/>
      </c>
      <c r="H259" s="40" t="n"/>
      <c r="I259" s="18">
        <f>IF($B259="","",N($F259)+N($G259)+N($H259))</f>
        <v/>
      </c>
      <c r="J259" s="18">
        <f>IF($B259="","",N($E259)-N($I259))</f>
        <v/>
      </c>
    </row>
    <row r="260">
      <c r="A260" s="16">
        <f>IF($B260="","",COUNTA($B$4:$B260))</f>
        <v/>
      </c>
      <c r="B260" s="71" t="n"/>
      <c r="C260" s="18">
        <f>IF($B260="","",N($J259))</f>
        <v/>
      </c>
      <c r="D260" s="38" t="n"/>
      <c r="E260" s="18">
        <f>IF($B260="","",N($C260)+N($D260))</f>
        <v/>
      </c>
      <c r="F260" s="18">
        <f>IF($B260="","",SUMIFS('العهد والرحلات'!$J$4:$J$2003,'العهد والرحلات'!$B$4:$B$2003,$B260))</f>
        <v/>
      </c>
      <c r="G260" s="18">
        <f>IF($B260="","",SUMIFS('الإيصالات'!$C$4:$C$2003,'الإيصالات'!$B$4:$B$2003,$B260))</f>
        <v/>
      </c>
      <c r="H260" s="38" t="n"/>
      <c r="I260" s="18">
        <f>IF($B260="","",N($F260)+N($G260)+N($H260))</f>
        <v/>
      </c>
      <c r="J260" s="18">
        <f>IF($B260="","",N($E260)-N($I260))</f>
        <v/>
      </c>
    </row>
    <row r="261">
      <c r="A261" s="16">
        <f>IF($B261="","",COUNTA($B$4:$B261))</f>
        <v/>
      </c>
      <c r="B261" s="72" t="n"/>
      <c r="C261" s="18">
        <f>IF($B261="","",N($J260))</f>
        <v/>
      </c>
      <c r="D261" s="40" t="n"/>
      <c r="E261" s="18">
        <f>IF($B261="","",N($C261)+N($D261))</f>
        <v/>
      </c>
      <c r="F261" s="18">
        <f>IF($B261="","",SUMIFS('العهد والرحلات'!$J$4:$J$2003,'العهد والرحلات'!$B$4:$B$2003,$B261))</f>
        <v/>
      </c>
      <c r="G261" s="18">
        <f>IF($B261="","",SUMIFS('الإيصالات'!$C$4:$C$2003,'الإيصالات'!$B$4:$B$2003,$B261))</f>
        <v/>
      </c>
      <c r="H261" s="40" t="n"/>
      <c r="I261" s="18">
        <f>IF($B261="","",N($F261)+N($G261)+N($H261))</f>
        <v/>
      </c>
      <c r="J261" s="18">
        <f>IF($B261="","",N($E261)-N($I261))</f>
        <v/>
      </c>
    </row>
    <row r="262">
      <c r="A262" s="16">
        <f>IF($B262="","",COUNTA($B$4:$B262))</f>
        <v/>
      </c>
      <c r="B262" s="71" t="n"/>
      <c r="C262" s="18">
        <f>IF($B262="","",N($J261))</f>
        <v/>
      </c>
      <c r="D262" s="38" t="n"/>
      <c r="E262" s="18">
        <f>IF($B262="","",N($C262)+N($D262))</f>
        <v/>
      </c>
      <c r="F262" s="18">
        <f>IF($B262="","",SUMIFS('العهد والرحلات'!$J$4:$J$2003,'العهد والرحلات'!$B$4:$B$2003,$B262))</f>
        <v/>
      </c>
      <c r="G262" s="18">
        <f>IF($B262="","",SUMIFS('الإيصالات'!$C$4:$C$2003,'الإيصالات'!$B$4:$B$2003,$B262))</f>
        <v/>
      </c>
      <c r="H262" s="38" t="n"/>
      <c r="I262" s="18">
        <f>IF($B262="","",N($F262)+N($G262)+N($H262))</f>
        <v/>
      </c>
      <c r="J262" s="18">
        <f>IF($B262="","",N($E262)-N($I262))</f>
        <v/>
      </c>
    </row>
    <row r="263">
      <c r="A263" s="16">
        <f>IF($B263="","",COUNTA($B$4:$B263))</f>
        <v/>
      </c>
      <c r="B263" s="72" t="n"/>
      <c r="C263" s="18">
        <f>IF($B263="","",N($J262))</f>
        <v/>
      </c>
      <c r="D263" s="40" t="n"/>
      <c r="E263" s="18">
        <f>IF($B263="","",N($C263)+N($D263))</f>
        <v/>
      </c>
      <c r="F263" s="18">
        <f>IF($B263="","",SUMIFS('العهد والرحلات'!$J$4:$J$2003,'العهد والرحلات'!$B$4:$B$2003,$B263))</f>
        <v/>
      </c>
      <c r="G263" s="18">
        <f>IF($B263="","",SUMIFS('الإيصالات'!$C$4:$C$2003,'الإيصالات'!$B$4:$B$2003,$B263))</f>
        <v/>
      </c>
      <c r="H263" s="40" t="n"/>
      <c r="I263" s="18">
        <f>IF($B263="","",N($F263)+N($G263)+N($H263))</f>
        <v/>
      </c>
      <c r="J263" s="18">
        <f>IF($B263="","",N($E263)-N($I263))</f>
        <v/>
      </c>
    </row>
    <row r="264">
      <c r="A264" s="16">
        <f>IF($B264="","",COUNTA($B$4:$B264))</f>
        <v/>
      </c>
      <c r="B264" s="71" t="n"/>
      <c r="C264" s="18">
        <f>IF($B264="","",N($J263))</f>
        <v/>
      </c>
      <c r="D264" s="38" t="n"/>
      <c r="E264" s="18">
        <f>IF($B264="","",N($C264)+N($D264))</f>
        <v/>
      </c>
      <c r="F264" s="18">
        <f>IF($B264="","",SUMIFS('العهد والرحلات'!$J$4:$J$2003,'العهد والرحلات'!$B$4:$B$2003,$B264))</f>
        <v/>
      </c>
      <c r="G264" s="18">
        <f>IF($B264="","",SUMIFS('الإيصالات'!$C$4:$C$2003,'الإيصالات'!$B$4:$B$2003,$B264))</f>
        <v/>
      </c>
      <c r="H264" s="38" t="n"/>
      <c r="I264" s="18">
        <f>IF($B264="","",N($F264)+N($G264)+N($H264))</f>
        <v/>
      </c>
      <c r="J264" s="18">
        <f>IF($B264="","",N($E264)-N($I264))</f>
        <v/>
      </c>
    </row>
    <row r="265">
      <c r="A265" s="16">
        <f>IF($B265="","",COUNTA($B$4:$B265))</f>
        <v/>
      </c>
      <c r="B265" s="72" t="n"/>
      <c r="C265" s="18">
        <f>IF($B265="","",N($J264))</f>
        <v/>
      </c>
      <c r="D265" s="40" t="n"/>
      <c r="E265" s="18">
        <f>IF($B265="","",N($C265)+N($D265))</f>
        <v/>
      </c>
      <c r="F265" s="18">
        <f>IF($B265="","",SUMIFS('العهد والرحلات'!$J$4:$J$2003,'العهد والرحلات'!$B$4:$B$2003,$B265))</f>
        <v/>
      </c>
      <c r="G265" s="18">
        <f>IF($B265="","",SUMIFS('الإيصالات'!$C$4:$C$2003,'الإيصالات'!$B$4:$B$2003,$B265))</f>
        <v/>
      </c>
      <c r="H265" s="40" t="n"/>
      <c r="I265" s="18">
        <f>IF($B265="","",N($F265)+N($G265)+N($H265))</f>
        <v/>
      </c>
      <c r="J265" s="18">
        <f>IF($B265="","",N($E265)-N($I265))</f>
        <v/>
      </c>
    </row>
    <row r="266">
      <c r="A266" s="16">
        <f>IF($B266="","",COUNTA($B$4:$B266))</f>
        <v/>
      </c>
      <c r="B266" s="71" t="n"/>
      <c r="C266" s="18">
        <f>IF($B266="","",N($J265))</f>
        <v/>
      </c>
      <c r="D266" s="38" t="n"/>
      <c r="E266" s="18">
        <f>IF($B266="","",N($C266)+N($D266))</f>
        <v/>
      </c>
      <c r="F266" s="18">
        <f>IF($B266="","",SUMIFS('العهد والرحلات'!$J$4:$J$2003,'العهد والرحلات'!$B$4:$B$2003,$B266))</f>
        <v/>
      </c>
      <c r="G266" s="18">
        <f>IF($B266="","",SUMIFS('الإيصالات'!$C$4:$C$2003,'الإيصالات'!$B$4:$B$2003,$B266))</f>
        <v/>
      </c>
      <c r="H266" s="38" t="n"/>
      <c r="I266" s="18">
        <f>IF($B266="","",N($F266)+N($G266)+N($H266))</f>
        <v/>
      </c>
      <c r="J266" s="18">
        <f>IF($B266="","",N($E266)-N($I266))</f>
        <v/>
      </c>
    </row>
    <row r="267">
      <c r="A267" s="16">
        <f>IF($B267="","",COUNTA($B$4:$B267))</f>
        <v/>
      </c>
      <c r="B267" s="72" t="n"/>
      <c r="C267" s="18">
        <f>IF($B267="","",N($J266))</f>
        <v/>
      </c>
      <c r="D267" s="40" t="n"/>
      <c r="E267" s="18">
        <f>IF($B267="","",N($C267)+N($D267))</f>
        <v/>
      </c>
      <c r="F267" s="18">
        <f>IF($B267="","",SUMIFS('العهد والرحلات'!$J$4:$J$2003,'العهد والرحلات'!$B$4:$B$2003,$B267))</f>
        <v/>
      </c>
      <c r="G267" s="18">
        <f>IF($B267="","",SUMIFS('الإيصالات'!$C$4:$C$2003,'الإيصالات'!$B$4:$B$2003,$B267))</f>
        <v/>
      </c>
      <c r="H267" s="40" t="n"/>
      <c r="I267" s="18">
        <f>IF($B267="","",N($F267)+N($G267)+N($H267))</f>
        <v/>
      </c>
      <c r="J267" s="18">
        <f>IF($B267="","",N($E267)-N($I267))</f>
        <v/>
      </c>
    </row>
    <row r="268">
      <c r="A268" s="16">
        <f>IF($B268="","",COUNTA($B$4:$B268))</f>
        <v/>
      </c>
      <c r="B268" s="71" t="n"/>
      <c r="C268" s="18">
        <f>IF($B268="","",N($J267))</f>
        <v/>
      </c>
      <c r="D268" s="38" t="n"/>
      <c r="E268" s="18">
        <f>IF($B268="","",N($C268)+N($D268))</f>
        <v/>
      </c>
      <c r="F268" s="18">
        <f>IF($B268="","",SUMIFS('العهد والرحلات'!$J$4:$J$2003,'العهد والرحلات'!$B$4:$B$2003,$B268))</f>
        <v/>
      </c>
      <c r="G268" s="18">
        <f>IF($B268="","",SUMIFS('الإيصالات'!$C$4:$C$2003,'الإيصالات'!$B$4:$B$2003,$B268))</f>
        <v/>
      </c>
      <c r="H268" s="38" t="n"/>
      <c r="I268" s="18">
        <f>IF($B268="","",N($F268)+N($G268)+N($H268))</f>
        <v/>
      </c>
      <c r="J268" s="18">
        <f>IF($B268="","",N($E268)-N($I268))</f>
        <v/>
      </c>
    </row>
    <row r="269">
      <c r="A269" s="16">
        <f>IF($B269="","",COUNTA($B$4:$B269))</f>
        <v/>
      </c>
      <c r="B269" s="72" t="n"/>
      <c r="C269" s="18">
        <f>IF($B269="","",N($J268))</f>
        <v/>
      </c>
      <c r="D269" s="40" t="n"/>
      <c r="E269" s="18">
        <f>IF($B269="","",N($C269)+N($D269))</f>
        <v/>
      </c>
      <c r="F269" s="18">
        <f>IF($B269="","",SUMIFS('العهد والرحلات'!$J$4:$J$2003,'العهد والرحلات'!$B$4:$B$2003,$B269))</f>
        <v/>
      </c>
      <c r="G269" s="18">
        <f>IF($B269="","",SUMIFS('الإيصالات'!$C$4:$C$2003,'الإيصالات'!$B$4:$B$2003,$B269))</f>
        <v/>
      </c>
      <c r="H269" s="40" t="n"/>
      <c r="I269" s="18">
        <f>IF($B269="","",N($F269)+N($G269)+N($H269))</f>
        <v/>
      </c>
      <c r="J269" s="18">
        <f>IF($B269="","",N($E269)-N($I269))</f>
        <v/>
      </c>
    </row>
    <row r="270">
      <c r="A270" s="16">
        <f>IF($B270="","",COUNTA($B$4:$B270))</f>
        <v/>
      </c>
      <c r="B270" s="71" t="n"/>
      <c r="C270" s="18">
        <f>IF($B270="","",N($J269))</f>
        <v/>
      </c>
      <c r="D270" s="38" t="n"/>
      <c r="E270" s="18">
        <f>IF($B270="","",N($C270)+N($D270))</f>
        <v/>
      </c>
      <c r="F270" s="18">
        <f>IF($B270="","",SUMIFS('العهد والرحلات'!$J$4:$J$2003,'العهد والرحلات'!$B$4:$B$2003,$B270))</f>
        <v/>
      </c>
      <c r="G270" s="18">
        <f>IF($B270="","",SUMIFS('الإيصالات'!$C$4:$C$2003,'الإيصالات'!$B$4:$B$2003,$B270))</f>
        <v/>
      </c>
      <c r="H270" s="38" t="n"/>
      <c r="I270" s="18">
        <f>IF($B270="","",N($F270)+N($G270)+N($H270))</f>
        <v/>
      </c>
      <c r="J270" s="18">
        <f>IF($B270="","",N($E270)-N($I270))</f>
        <v/>
      </c>
    </row>
    <row r="271">
      <c r="A271" s="16">
        <f>IF($B271="","",COUNTA($B$4:$B271))</f>
        <v/>
      </c>
      <c r="B271" s="72" t="n"/>
      <c r="C271" s="18">
        <f>IF($B271="","",N($J270))</f>
        <v/>
      </c>
      <c r="D271" s="40" t="n"/>
      <c r="E271" s="18">
        <f>IF($B271="","",N($C271)+N($D271))</f>
        <v/>
      </c>
      <c r="F271" s="18">
        <f>IF($B271="","",SUMIFS('العهد والرحلات'!$J$4:$J$2003,'العهد والرحلات'!$B$4:$B$2003,$B271))</f>
        <v/>
      </c>
      <c r="G271" s="18">
        <f>IF($B271="","",SUMIFS('الإيصالات'!$C$4:$C$2003,'الإيصالات'!$B$4:$B$2003,$B271))</f>
        <v/>
      </c>
      <c r="H271" s="40" t="n"/>
      <c r="I271" s="18">
        <f>IF($B271="","",N($F271)+N($G271)+N($H271))</f>
        <v/>
      </c>
      <c r="J271" s="18">
        <f>IF($B271="","",N($E271)-N($I271))</f>
        <v/>
      </c>
    </row>
    <row r="272">
      <c r="A272" s="16">
        <f>IF($B272="","",COUNTA($B$4:$B272))</f>
        <v/>
      </c>
      <c r="B272" s="71" t="n"/>
      <c r="C272" s="18">
        <f>IF($B272="","",N($J271))</f>
        <v/>
      </c>
      <c r="D272" s="38" t="n"/>
      <c r="E272" s="18">
        <f>IF($B272="","",N($C272)+N($D272))</f>
        <v/>
      </c>
      <c r="F272" s="18">
        <f>IF($B272="","",SUMIFS('العهد والرحلات'!$J$4:$J$2003,'العهد والرحلات'!$B$4:$B$2003,$B272))</f>
        <v/>
      </c>
      <c r="G272" s="18">
        <f>IF($B272="","",SUMIFS('الإيصالات'!$C$4:$C$2003,'الإيصالات'!$B$4:$B$2003,$B272))</f>
        <v/>
      </c>
      <c r="H272" s="38" t="n"/>
      <c r="I272" s="18">
        <f>IF($B272="","",N($F272)+N($G272)+N($H272))</f>
        <v/>
      </c>
      <c r="J272" s="18">
        <f>IF($B272="","",N($E272)-N($I272))</f>
        <v/>
      </c>
    </row>
    <row r="273">
      <c r="A273" s="16">
        <f>IF($B273="","",COUNTA($B$4:$B273))</f>
        <v/>
      </c>
      <c r="B273" s="72" t="n"/>
      <c r="C273" s="18">
        <f>IF($B273="","",N($J272))</f>
        <v/>
      </c>
      <c r="D273" s="40" t="n"/>
      <c r="E273" s="18">
        <f>IF($B273="","",N($C273)+N($D273))</f>
        <v/>
      </c>
      <c r="F273" s="18">
        <f>IF($B273="","",SUMIFS('العهد والرحلات'!$J$4:$J$2003,'العهد والرحلات'!$B$4:$B$2003,$B273))</f>
        <v/>
      </c>
      <c r="G273" s="18">
        <f>IF($B273="","",SUMIFS('الإيصالات'!$C$4:$C$2003,'الإيصالات'!$B$4:$B$2003,$B273))</f>
        <v/>
      </c>
      <c r="H273" s="40" t="n"/>
      <c r="I273" s="18">
        <f>IF($B273="","",N($F273)+N($G273)+N($H273))</f>
        <v/>
      </c>
      <c r="J273" s="18">
        <f>IF($B273="","",N($E273)-N($I273))</f>
        <v/>
      </c>
    </row>
    <row r="274">
      <c r="A274" s="16">
        <f>IF($B274="","",COUNTA($B$4:$B274))</f>
        <v/>
      </c>
      <c r="B274" s="71" t="n"/>
      <c r="C274" s="18">
        <f>IF($B274="","",N($J273))</f>
        <v/>
      </c>
      <c r="D274" s="38" t="n"/>
      <c r="E274" s="18">
        <f>IF($B274="","",N($C274)+N($D274))</f>
        <v/>
      </c>
      <c r="F274" s="18">
        <f>IF($B274="","",SUMIFS('العهد والرحلات'!$J$4:$J$2003,'العهد والرحلات'!$B$4:$B$2003,$B274))</f>
        <v/>
      </c>
      <c r="G274" s="18">
        <f>IF($B274="","",SUMIFS('الإيصالات'!$C$4:$C$2003,'الإيصالات'!$B$4:$B$2003,$B274))</f>
        <v/>
      </c>
      <c r="H274" s="38" t="n"/>
      <c r="I274" s="18">
        <f>IF($B274="","",N($F274)+N($G274)+N($H274))</f>
        <v/>
      </c>
      <c r="J274" s="18">
        <f>IF($B274="","",N($E274)-N($I274))</f>
        <v/>
      </c>
    </row>
    <row r="275">
      <c r="A275" s="16">
        <f>IF($B275="","",COUNTA($B$4:$B275))</f>
        <v/>
      </c>
      <c r="B275" s="72" t="n"/>
      <c r="C275" s="18">
        <f>IF($B275="","",N($J274))</f>
        <v/>
      </c>
      <c r="D275" s="40" t="n"/>
      <c r="E275" s="18">
        <f>IF($B275="","",N($C275)+N($D275))</f>
        <v/>
      </c>
      <c r="F275" s="18">
        <f>IF($B275="","",SUMIFS('العهد والرحلات'!$J$4:$J$2003,'العهد والرحلات'!$B$4:$B$2003,$B275))</f>
        <v/>
      </c>
      <c r="G275" s="18">
        <f>IF($B275="","",SUMIFS('الإيصالات'!$C$4:$C$2003,'الإيصالات'!$B$4:$B$2003,$B275))</f>
        <v/>
      </c>
      <c r="H275" s="40" t="n"/>
      <c r="I275" s="18">
        <f>IF($B275="","",N($F275)+N($G275)+N($H275))</f>
        <v/>
      </c>
      <c r="J275" s="18">
        <f>IF($B275="","",N($E275)-N($I275))</f>
        <v/>
      </c>
    </row>
    <row r="276">
      <c r="A276" s="16">
        <f>IF($B276="","",COUNTA($B$4:$B276))</f>
        <v/>
      </c>
      <c r="B276" s="71" t="n"/>
      <c r="C276" s="18">
        <f>IF($B276="","",N($J275))</f>
        <v/>
      </c>
      <c r="D276" s="38" t="n"/>
      <c r="E276" s="18">
        <f>IF($B276="","",N($C276)+N($D276))</f>
        <v/>
      </c>
      <c r="F276" s="18">
        <f>IF($B276="","",SUMIFS('العهد والرحلات'!$J$4:$J$2003,'العهد والرحلات'!$B$4:$B$2003,$B276))</f>
        <v/>
      </c>
      <c r="G276" s="18">
        <f>IF($B276="","",SUMIFS('الإيصالات'!$C$4:$C$2003,'الإيصالات'!$B$4:$B$2003,$B276))</f>
        <v/>
      </c>
      <c r="H276" s="38" t="n"/>
      <c r="I276" s="18">
        <f>IF($B276="","",N($F276)+N($G276)+N($H276))</f>
        <v/>
      </c>
      <c r="J276" s="18">
        <f>IF($B276="","",N($E276)-N($I276))</f>
        <v/>
      </c>
    </row>
    <row r="277">
      <c r="A277" s="16">
        <f>IF($B277="","",COUNTA($B$4:$B277))</f>
        <v/>
      </c>
      <c r="B277" s="72" t="n"/>
      <c r="C277" s="18">
        <f>IF($B277="","",N($J276))</f>
        <v/>
      </c>
      <c r="D277" s="40" t="n"/>
      <c r="E277" s="18">
        <f>IF($B277="","",N($C277)+N($D277))</f>
        <v/>
      </c>
      <c r="F277" s="18">
        <f>IF($B277="","",SUMIFS('العهد والرحلات'!$J$4:$J$2003,'العهد والرحلات'!$B$4:$B$2003,$B277))</f>
        <v/>
      </c>
      <c r="G277" s="18">
        <f>IF($B277="","",SUMIFS('الإيصالات'!$C$4:$C$2003,'الإيصالات'!$B$4:$B$2003,$B277))</f>
        <v/>
      </c>
      <c r="H277" s="40" t="n"/>
      <c r="I277" s="18">
        <f>IF($B277="","",N($F277)+N($G277)+N($H277))</f>
        <v/>
      </c>
      <c r="J277" s="18">
        <f>IF($B277="","",N($E277)-N($I277))</f>
        <v/>
      </c>
    </row>
    <row r="278">
      <c r="A278" s="16">
        <f>IF($B278="","",COUNTA($B$4:$B278))</f>
        <v/>
      </c>
      <c r="B278" s="71" t="n"/>
      <c r="C278" s="18">
        <f>IF($B278="","",N($J277))</f>
        <v/>
      </c>
      <c r="D278" s="38" t="n"/>
      <c r="E278" s="18">
        <f>IF($B278="","",N($C278)+N($D278))</f>
        <v/>
      </c>
      <c r="F278" s="18">
        <f>IF($B278="","",SUMIFS('العهد والرحلات'!$J$4:$J$2003,'العهد والرحلات'!$B$4:$B$2003,$B278))</f>
        <v/>
      </c>
      <c r="G278" s="18">
        <f>IF($B278="","",SUMIFS('الإيصالات'!$C$4:$C$2003,'الإيصالات'!$B$4:$B$2003,$B278))</f>
        <v/>
      </c>
      <c r="H278" s="38" t="n"/>
      <c r="I278" s="18">
        <f>IF($B278="","",N($F278)+N($G278)+N($H278))</f>
        <v/>
      </c>
      <c r="J278" s="18">
        <f>IF($B278="","",N($E278)-N($I278))</f>
        <v/>
      </c>
    </row>
    <row r="279">
      <c r="A279" s="16">
        <f>IF($B279="","",COUNTA($B$4:$B279))</f>
        <v/>
      </c>
      <c r="B279" s="72" t="n"/>
      <c r="C279" s="18">
        <f>IF($B279="","",N($J278))</f>
        <v/>
      </c>
      <c r="D279" s="40" t="n"/>
      <c r="E279" s="18">
        <f>IF($B279="","",N($C279)+N($D279))</f>
        <v/>
      </c>
      <c r="F279" s="18">
        <f>IF($B279="","",SUMIFS('العهد والرحلات'!$J$4:$J$2003,'العهد والرحلات'!$B$4:$B$2003,$B279))</f>
        <v/>
      </c>
      <c r="G279" s="18">
        <f>IF($B279="","",SUMIFS('الإيصالات'!$C$4:$C$2003,'الإيصالات'!$B$4:$B$2003,$B279))</f>
        <v/>
      </c>
      <c r="H279" s="40" t="n"/>
      <c r="I279" s="18">
        <f>IF($B279="","",N($F279)+N($G279)+N($H279))</f>
        <v/>
      </c>
      <c r="J279" s="18">
        <f>IF($B279="","",N($E279)-N($I279))</f>
        <v/>
      </c>
    </row>
    <row r="280">
      <c r="A280" s="16">
        <f>IF($B280="","",COUNTA($B$4:$B280))</f>
        <v/>
      </c>
      <c r="B280" s="71" t="n"/>
      <c r="C280" s="18">
        <f>IF($B280="","",N($J279))</f>
        <v/>
      </c>
      <c r="D280" s="38" t="n"/>
      <c r="E280" s="18">
        <f>IF($B280="","",N($C280)+N($D280))</f>
        <v/>
      </c>
      <c r="F280" s="18">
        <f>IF($B280="","",SUMIFS('العهد والرحلات'!$J$4:$J$2003,'العهد والرحلات'!$B$4:$B$2003,$B280))</f>
        <v/>
      </c>
      <c r="G280" s="18">
        <f>IF($B280="","",SUMIFS('الإيصالات'!$C$4:$C$2003,'الإيصالات'!$B$4:$B$2003,$B280))</f>
        <v/>
      </c>
      <c r="H280" s="38" t="n"/>
      <c r="I280" s="18">
        <f>IF($B280="","",N($F280)+N($G280)+N($H280))</f>
        <v/>
      </c>
      <c r="J280" s="18">
        <f>IF($B280="","",N($E280)-N($I280))</f>
        <v/>
      </c>
    </row>
    <row r="281">
      <c r="A281" s="16">
        <f>IF($B281="","",COUNTA($B$4:$B281))</f>
        <v/>
      </c>
      <c r="B281" s="72" t="n"/>
      <c r="C281" s="18">
        <f>IF($B281="","",N($J280))</f>
        <v/>
      </c>
      <c r="D281" s="40" t="n"/>
      <c r="E281" s="18">
        <f>IF($B281="","",N($C281)+N($D281))</f>
        <v/>
      </c>
      <c r="F281" s="18">
        <f>IF($B281="","",SUMIFS('العهد والرحلات'!$J$4:$J$2003,'العهد والرحلات'!$B$4:$B$2003,$B281))</f>
        <v/>
      </c>
      <c r="G281" s="18">
        <f>IF($B281="","",SUMIFS('الإيصالات'!$C$4:$C$2003,'الإيصالات'!$B$4:$B$2003,$B281))</f>
        <v/>
      </c>
      <c r="H281" s="40" t="n"/>
      <c r="I281" s="18">
        <f>IF($B281="","",N($F281)+N($G281)+N($H281))</f>
        <v/>
      </c>
      <c r="J281" s="18">
        <f>IF($B281="","",N($E281)-N($I281))</f>
        <v/>
      </c>
    </row>
    <row r="282">
      <c r="A282" s="16">
        <f>IF($B282="","",COUNTA($B$4:$B282))</f>
        <v/>
      </c>
      <c r="B282" s="71" t="n"/>
      <c r="C282" s="18">
        <f>IF($B282="","",N($J281))</f>
        <v/>
      </c>
      <c r="D282" s="38" t="n"/>
      <c r="E282" s="18">
        <f>IF($B282="","",N($C282)+N($D282))</f>
        <v/>
      </c>
      <c r="F282" s="18">
        <f>IF($B282="","",SUMIFS('العهد والرحلات'!$J$4:$J$2003,'العهد والرحلات'!$B$4:$B$2003,$B282))</f>
        <v/>
      </c>
      <c r="G282" s="18">
        <f>IF($B282="","",SUMIFS('الإيصالات'!$C$4:$C$2003,'الإيصالات'!$B$4:$B$2003,$B282))</f>
        <v/>
      </c>
      <c r="H282" s="38" t="n"/>
      <c r="I282" s="18">
        <f>IF($B282="","",N($F282)+N($G282)+N($H282))</f>
        <v/>
      </c>
      <c r="J282" s="18">
        <f>IF($B282="","",N($E282)-N($I282))</f>
        <v/>
      </c>
    </row>
    <row r="283">
      <c r="A283" s="16">
        <f>IF($B283="","",COUNTA($B$4:$B283))</f>
        <v/>
      </c>
      <c r="B283" s="72" t="n"/>
      <c r="C283" s="18">
        <f>IF($B283="","",N($J282))</f>
        <v/>
      </c>
      <c r="D283" s="40" t="n"/>
      <c r="E283" s="18">
        <f>IF($B283="","",N($C283)+N($D283))</f>
        <v/>
      </c>
      <c r="F283" s="18">
        <f>IF($B283="","",SUMIFS('العهد والرحلات'!$J$4:$J$2003,'العهد والرحلات'!$B$4:$B$2003,$B283))</f>
        <v/>
      </c>
      <c r="G283" s="18">
        <f>IF($B283="","",SUMIFS('الإيصالات'!$C$4:$C$2003,'الإيصالات'!$B$4:$B$2003,$B283))</f>
        <v/>
      </c>
      <c r="H283" s="40" t="n"/>
      <c r="I283" s="18">
        <f>IF($B283="","",N($F283)+N($G283)+N($H283))</f>
        <v/>
      </c>
      <c r="J283" s="18">
        <f>IF($B283="","",N($E283)-N($I283))</f>
        <v/>
      </c>
    </row>
    <row r="284">
      <c r="A284" s="16">
        <f>IF($B284="","",COUNTA($B$4:$B284))</f>
        <v/>
      </c>
      <c r="B284" s="71" t="n"/>
      <c r="C284" s="18">
        <f>IF($B284="","",N($J283))</f>
        <v/>
      </c>
      <c r="D284" s="38" t="n"/>
      <c r="E284" s="18">
        <f>IF($B284="","",N($C284)+N($D284))</f>
        <v/>
      </c>
      <c r="F284" s="18">
        <f>IF($B284="","",SUMIFS('العهد والرحلات'!$J$4:$J$2003,'العهد والرحلات'!$B$4:$B$2003,$B284))</f>
        <v/>
      </c>
      <c r="G284" s="18">
        <f>IF($B284="","",SUMIFS('الإيصالات'!$C$4:$C$2003,'الإيصالات'!$B$4:$B$2003,$B284))</f>
        <v/>
      </c>
      <c r="H284" s="38" t="n"/>
      <c r="I284" s="18">
        <f>IF($B284="","",N($F284)+N($G284)+N($H284))</f>
        <v/>
      </c>
      <c r="J284" s="18">
        <f>IF($B284="","",N($E284)-N($I284))</f>
        <v/>
      </c>
    </row>
    <row r="285">
      <c r="A285" s="16">
        <f>IF($B285="","",COUNTA($B$4:$B285))</f>
        <v/>
      </c>
      <c r="B285" s="72" t="n"/>
      <c r="C285" s="18">
        <f>IF($B285="","",N($J284))</f>
        <v/>
      </c>
      <c r="D285" s="40" t="n"/>
      <c r="E285" s="18">
        <f>IF($B285="","",N($C285)+N($D285))</f>
        <v/>
      </c>
      <c r="F285" s="18">
        <f>IF($B285="","",SUMIFS('العهد والرحلات'!$J$4:$J$2003,'العهد والرحلات'!$B$4:$B$2003,$B285))</f>
        <v/>
      </c>
      <c r="G285" s="18">
        <f>IF($B285="","",SUMIFS('الإيصالات'!$C$4:$C$2003,'الإيصالات'!$B$4:$B$2003,$B285))</f>
        <v/>
      </c>
      <c r="H285" s="40" t="n"/>
      <c r="I285" s="18">
        <f>IF($B285="","",N($F285)+N($G285)+N($H285))</f>
        <v/>
      </c>
      <c r="J285" s="18">
        <f>IF($B285="","",N($E285)-N($I285))</f>
        <v/>
      </c>
    </row>
    <row r="286">
      <c r="A286" s="16">
        <f>IF($B286="","",COUNTA($B$4:$B286))</f>
        <v/>
      </c>
      <c r="B286" s="71" t="n"/>
      <c r="C286" s="18">
        <f>IF($B286="","",N($J285))</f>
        <v/>
      </c>
      <c r="D286" s="38" t="n"/>
      <c r="E286" s="18">
        <f>IF($B286="","",N($C286)+N($D286))</f>
        <v/>
      </c>
      <c r="F286" s="18">
        <f>IF($B286="","",SUMIFS('العهد والرحلات'!$J$4:$J$2003,'العهد والرحلات'!$B$4:$B$2003,$B286))</f>
        <v/>
      </c>
      <c r="G286" s="18">
        <f>IF($B286="","",SUMIFS('الإيصالات'!$C$4:$C$2003,'الإيصالات'!$B$4:$B$2003,$B286))</f>
        <v/>
      </c>
      <c r="H286" s="38" t="n"/>
      <c r="I286" s="18">
        <f>IF($B286="","",N($F286)+N($G286)+N($H286))</f>
        <v/>
      </c>
      <c r="J286" s="18">
        <f>IF($B286="","",N($E286)-N($I286))</f>
        <v/>
      </c>
    </row>
    <row r="287">
      <c r="A287" s="16">
        <f>IF($B287="","",COUNTA($B$4:$B287))</f>
        <v/>
      </c>
      <c r="B287" s="72" t="n"/>
      <c r="C287" s="18">
        <f>IF($B287="","",N($J286))</f>
        <v/>
      </c>
      <c r="D287" s="40" t="n"/>
      <c r="E287" s="18">
        <f>IF($B287="","",N($C287)+N($D287))</f>
        <v/>
      </c>
      <c r="F287" s="18">
        <f>IF($B287="","",SUMIFS('العهد والرحلات'!$J$4:$J$2003,'العهد والرحلات'!$B$4:$B$2003,$B287))</f>
        <v/>
      </c>
      <c r="G287" s="18">
        <f>IF($B287="","",SUMIFS('الإيصالات'!$C$4:$C$2003,'الإيصالات'!$B$4:$B$2003,$B287))</f>
        <v/>
      </c>
      <c r="H287" s="40" t="n"/>
      <c r="I287" s="18">
        <f>IF($B287="","",N($F287)+N($G287)+N($H287))</f>
        <v/>
      </c>
      <c r="J287" s="18">
        <f>IF($B287="","",N($E287)-N($I287))</f>
        <v/>
      </c>
    </row>
    <row r="288">
      <c r="A288" s="16">
        <f>IF($B288="","",COUNTA($B$4:$B288))</f>
        <v/>
      </c>
      <c r="B288" s="71" t="n"/>
      <c r="C288" s="18">
        <f>IF($B288="","",N($J287))</f>
        <v/>
      </c>
      <c r="D288" s="38" t="n"/>
      <c r="E288" s="18">
        <f>IF($B288="","",N($C288)+N($D288))</f>
        <v/>
      </c>
      <c r="F288" s="18">
        <f>IF($B288="","",SUMIFS('العهد والرحلات'!$J$4:$J$2003,'العهد والرحلات'!$B$4:$B$2003,$B288))</f>
        <v/>
      </c>
      <c r="G288" s="18">
        <f>IF($B288="","",SUMIFS('الإيصالات'!$C$4:$C$2003,'الإيصالات'!$B$4:$B$2003,$B288))</f>
        <v/>
      </c>
      <c r="H288" s="38" t="n"/>
      <c r="I288" s="18">
        <f>IF($B288="","",N($F288)+N($G288)+N($H288))</f>
        <v/>
      </c>
      <c r="J288" s="18">
        <f>IF($B288="","",N($E288)-N($I288))</f>
        <v/>
      </c>
    </row>
    <row r="289">
      <c r="A289" s="16">
        <f>IF($B289="","",COUNTA($B$4:$B289))</f>
        <v/>
      </c>
      <c r="B289" s="72" t="n"/>
      <c r="C289" s="18">
        <f>IF($B289="","",N($J288))</f>
        <v/>
      </c>
      <c r="D289" s="40" t="n"/>
      <c r="E289" s="18">
        <f>IF($B289="","",N($C289)+N($D289))</f>
        <v/>
      </c>
      <c r="F289" s="18">
        <f>IF($B289="","",SUMIFS('العهد والرحلات'!$J$4:$J$2003,'العهد والرحلات'!$B$4:$B$2003,$B289))</f>
        <v/>
      </c>
      <c r="G289" s="18">
        <f>IF($B289="","",SUMIFS('الإيصالات'!$C$4:$C$2003,'الإيصالات'!$B$4:$B$2003,$B289))</f>
        <v/>
      </c>
      <c r="H289" s="40" t="n"/>
      <c r="I289" s="18">
        <f>IF($B289="","",N($F289)+N($G289)+N($H289))</f>
        <v/>
      </c>
      <c r="J289" s="18">
        <f>IF($B289="","",N($E289)-N($I289))</f>
        <v/>
      </c>
    </row>
    <row r="290">
      <c r="A290" s="16">
        <f>IF($B290="","",COUNTA($B$4:$B290))</f>
        <v/>
      </c>
      <c r="B290" s="71" t="n"/>
      <c r="C290" s="18">
        <f>IF($B290="","",N($J289))</f>
        <v/>
      </c>
      <c r="D290" s="38" t="n"/>
      <c r="E290" s="18">
        <f>IF($B290="","",N($C290)+N($D290))</f>
        <v/>
      </c>
      <c r="F290" s="18">
        <f>IF($B290="","",SUMIFS('العهد والرحلات'!$J$4:$J$2003,'العهد والرحلات'!$B$4:$B$2003,$B290))</f>
        <v/>
      </c>
      <c r="G290" s="18">
        <f>IF($B290="","",SUMIFS('الإيصالات'!$C$4:$C$2003,'الإيصالات'!$B$4:$B$2003,$B290))</f>
        <v/>
      </c>
      <c r="H290" s="38" t="n"/>
      <c r="I290" s="18">
        <f>IF($B290="","",N($F290)+N($G290)+N($H290))</f>
        <v/>
      </c>
      <c r="J290" s="18">
        <f>IF($B290="","",N($E290)-N($I290))</f>
        <v/>
      </c>
    </row>
    <row r="291">
      <c r="A291" s="16">
        <f>IF($B291="","",COUNTA($B$4:$B291))</f>
        <v/>
      </c>
      <c r="B291" s="72" t="n"/>
      <c r="C291" s="18">
        <f>IF($B291="","",N($J290))</f>
        <v/>
      </c>
      <c r="D291" s="40" t="n"/>
      <c r="E291" s="18">
        <f>IF($B291="","",N($C291)+N($D291))</f>
        <v/>
      </c>
      <c r="F291" s="18">
        <f>IF($B291="","",SUMIFS('العهد والرحلات'!$J$4:$J$2003,'العهد والرحلات'!$B$4:$B$2003,$B291))</f>
        <v/>
      </c>
      <c r="G291" s="18">
        <f>IF($B291="","",SUMIFS('الإيصالات'!$C$4:$C$2003,'الإيصالات'!$B$4:$B$2003,$B291))</f>
        <v/>
      </c>
      <c r="H291" s="40" t="n"/>
      <c r="I291" s="18">
        <f>IF($B291="","",N($F291)+N($G291)+N($H291))</f>
        <v/>
      </c>
      <c r="J291" s="18">
        <f>IF($B291="","",N($E291)-N($I291))</f>
        <v/>
      </c>
    </row>
    <row r="292">
      <c r="A292" s="16">
        <f>IF($B292="","",COUNTA($B$4:$B292))</f>
        <v/>
      </c>
      <c r="B292" s="71" t="n"/>
      <c r="C292" s="18">
        <f>IF($B292="","",N($J291))</f>
        <v/>
      </c>
      <c r="D292" s="38" t="n"/>
      <c r="E292" s="18">
        <f>IF($B292="","",N($C292)+N($D292))</f>
        <v/>
      </c>
      <c r="F292" s="18">
        <f>IF($B292="","",SUMIFS('العهد والرحلات'!$J$4:$J$2003,'العهد والرحلات'!$B$4:$B$2003,$B292))</f>
        <v/>
      </c>
      <c r="G292" s="18">
        <f>IF($B292="","",SUMIFS('الإيصالات'!$C$4:$C$2003,'الإيصالات'!$B$4:$B$2003,$B292))</f>
        <v/>
      </c>
      <c r="H292" s="38" t="n"/>
      <c r="I292" s="18">
        <f>IF($B292="","",N($F292)+N($G292)+N($H292))</f>
        <v/>
      </c>
      <c r="J292" s="18">
        <f>IF($B292="","",N($E292)-N($I292))</f>
        <v/>
      </c>
    </row>
    <row r="293">
      <c r="A293" s="16">
        <f>IF($B293="","",COUNTA($B$4:$B293))</f>
        <v/>
      </c>
      <c r="B293" s="72" t="n"/>
      <c r="C293" s="18">
        <f>IF($B293="","",N($J292))</f>
        <v/>
      </c>
      <c r="D293" s="40" t="n"/>
      <c r="E293" s="18">
        <f>IF($B293="","",N($C293)+N($D293))</f>
        <v/>
      </c>
      <c r="F293" s="18">
        <f>IF($B293="","",SUMIFS('العهد والرحلات'!$J$4:$J$2003,'العهد والرحلات'!$B$4:$B$2003,$B293))</f>
        <v/>
      </c>
      <c r="G293" s="18">
        <f>IF($B293="","",SUMIFS('الإيصالات'!$C$4:$C$2003,'الإيصالات'!$B$4:$B$2003,$B293))</f>
        <v/>
      </c>
      <c r="H293" s="40" t="n"/>
      <c r="I293" s="18">
        <f>IF($B293="","",N($F293)+N($G293)+N($H293))</f>
        <v/>
      </c>
      <c r="J293" s="18">
        <f>IF($B293="","",N($E293)-N($I293))</f>
        <v/>
      </c>
    </row>
    <row r="294">
      <c r="A294" s="16">
        <f>IF($B294="","",COUNTA($B$4:$B294))</f>
        <v/>
      </c>
      <c r="B294" s="71" t="n"/>
      <c r="C294" s="18">
        <f>IF($B294="","",N($J293))</f>
        <v/>
      </c>
      <c r="D294" s="38" t="n"/>
      <c r="E294" s="18">
        <f>IF($B294="","",N($C294)+N($D294))</f>
        <v/>
      </c>
      <c r="F294" s="18">
        <f>IF($B294="","",SUMIFS('العهد والرحلات'!$J$4:$J$2003,'العهد والرحلات'!$B$4:$B$2003,$B294))</f>
        <v/>
      </c>
      <c r="G294" s="18">
        <f>IF($B294="","",SUMIFS('الإيصالات'!$C$4:$C$2003,'الإيصالات'!$B$4:$B$2003,$B294))</f>
        <v/>
      </c>
      <c r="H294" s="38" t="n"/>
      <c r="I294" s="18">
        <f>IF($B294="","",N($F294)+N($G294)+N($H294))</f>
        <v/>
      </c>
      <c r="J294" s="18">
        <f>IF($B294="","",N($E294)-N($I294))</f>
        <v/>
      </c>
    </row>
    <row r="295">
      <c r="A295" s="16">
        <f>IF($B295="","",COUNTA($B$4:$B295))</f>
        <v/>
      </c>
      <c r="B295" s="72" t="n"/>
      <c r="C295" s="18">
        <f>IF($B295="","",N($J294))</f>
        <v/>
      </c>
      <c r="D295" s="40" t="n"/>
      <c r="E295" s="18">
        <f>IF($B295="","",N($C295)+N($D295))</f>
        <v/>
      </c>
      <c r="F295" s="18">
        <f>IF($B295="","",SUMIFS('العهد والرحلات'!$J$4:$J$2003,'العهد والرحلات'!$B$4:$B$2003,$B295))</f>
        <v/>
      </c>
      <c r="G295" s="18">
        <f>IF($B295="","",SUMIFS('الإيصالات'!$C$4:$C$2003,'الإيصالات'!$B$4:$B$2003,$B295))</f>
        <v/>
      </c>
      <c r="H295" s="40" t="n"/>
      <c r="I295" s="18">
        <f>IF($B295="","",N($F295)+N($G295)+N($H295))</f>
        <v/>
      </c>
      <c r="J295" s="18">
        <f>IF($B295="","",N($E295)-N($I295))</f>
        <v/>
      </c>
    </row>
    <row r="296">
      <c r="A296" s="16">
        <f>IF($B296="","",COUNTA($B$4:$B296))</f>
        <v/>
      </c>
      <c r="B296" s="71" t="n"/>
      <c r="C296" s="18">
        <f>IF($B296="","",N($J295))</f>
        <v/>
      </c>
      <c r="D296" s="38" t="n"/>
      <c r="E296" s="18">
        <f>IF($B296="","",N($C296)+N($D296))</f>
        <v/>
      </c>
      <c r="F296" s="18">
        <f>IF($B296="","",SUMIFS('العهد والرحلات'!$J$4:$J$2003,'العهد والرحلات'!$B$4:$B$2003,$B296))</f>
        <v/>
      </c>
      <c r="G296" s="18">
        <f>IF($B296="","",SUMIFS('الإيصالات'!$C$4:$C$2003,'الإيصالات'!$B$4:$B$2003,$B296))</f>
        <v/>
      </c>
      <c r="H296" s="38" t="n"/>
      <c r="I296" s="18">
        <f>IF($B296="","",N($F296)+N($G296)+N($H296))</f>
        <v/>
      </c>
      <c r="J296" s="18">
        <f>IF($B296="","",N($E296)-N($I296))</f>
        <v/>
      </c>
    </row>
    <row r="297">
      <c r="A297" s="16">
        <f>IF($B297="","",COUNTA($B$4:$B297))</f>
        <v/>
      </c>
      <c r="B297" s="72" t="n"/>
      <c r="C297" s="18">
        <f>IF($B297="","",N($J296))</f>
        <v/>
      </c>
      <c r="D297" s="40" t="n"/>
      <c r="E297" s="18">
        <f>IF($B297="","",N($C297)+N($D297))</f>
        <v/>
      </c>
      <c r="F297" s="18">
        <f>IF($B297="","",SUMIFS('العهد والرحلات'!$J$4:$J$2003,'العهد والرحلات'!$B$4:$B$2003,$B297))</f>
        <v/>
      </c>
      <c r="G297" s="18">
        <f>IF($B297="","",SUMIFS('الإيصالات'!$C$4:$C$2003,'الإيصالات'!$B$4:$B$2003,$B297))</f>
        <v/>
      </c>
      <c r="H297" s="40" t="n"/>
      <c r="I297" s="18">
        <f>IF($B297="","",N($F297)+N($G297)+N($H297))</f>
        <v/>
      </c>
      <c r="J297" s="18">
        <f>IF($B297="","",N($E297)-N($I297))</f>
        <v/>
      </c>
    </row>
    <row r="298">
      <c r="A298" s="16">
        <f>IF($B298="","",COUNTA($B$4:$B298))</f>
        <v/>
      </c>
      <c r="B298" s="71" t="n"/>
      <c r="C298" s="18">
        <f>IF($B298="","",N($J297))</f>
        <v/>
      </c>
      <c r="D298" s="38" t="n"/>
      <c r="E298" s="18">
        <f>IF($B298="","",N($C298)+N($D298))</f>
        <v/>
      </c>
      <c r="F298" s="18">
        <f>IF($B298="","",SUMIFS('العهد والرحلات'!$J$4:$J$2003,'العهد والرحلات'!$B$4:$B$2003,$B298))</f>
        <v/>
      </c>
      <c r="G298" s="18">
        <f>IF($B298="","",SUMIFS('الإيصالات'!$C$4:$C$2003,'الإيصالات'!$B$4:$B$2003,$B298))</f>
        <v/>
      </c>
      <c r="H298" s="38" t="n"/>
      <c r="I298" s="18">
        <f>IF($B298="","",N($F298)+N($G298)+N($H298))</f>
        <v/>
      </c>
      <c r="J298" s="18">
        <f>IF($B298="","",N($E298)-N($I298))</f>
        <v/>
      </c>
    </row>
    <row r="299">
      <c r="A299" s="16">
        <f>IF($B299="","",COUNTA($B$4:$B299))</f>
        <v/>
      </c>
      <c r="B299" s="72" t="n"/>
      <c r="C299" s="18">
        <f>IF($B299="","",N($J298))</f>
        <v/>
      </c>
      <c r="D299" s="40" t="n"/>
      <c r="E299" s="18">
        <f>IF($B299="","",N($C299)+N($D299))</f>
        <v/>
      </c>
      <c r="F299" s="18">
        <f>IF($B299="","",SUMIFS('العهد والرحلات'!$J$4:$J$2003,'العهد والرحلات'!$B$4:$B$2003,$B299))</f>
        <v/>
      </c>
      <c r="G299" s="18">
        <f>IF($B299="","",SUMIFS('الإيصالات'!$C$4:$C$2003,'الإيصالات'!$B$4:$B$2003,$B299))</f>
        <v/>
      </c>
      <c r="H299" s="40" t="n"/>
      <c r="I299" s="18">
        <f>IF($B299="","",N($F299)+N($G299)+N($H299))</f>
        <v/>
      </c>
      <c r="J299" s="18">
        <f>IF($B299="","",N($E299)-N($I299))</f>
        <v/>
      </c>
    </row>
    <row r="300">
      <c r="A300" s="16">
        <f>IF($B300="","",COUNTA($B$4:$B300))</f>
        <v/>
      </c>
      <c r="B300" s="71" t="n"/>
      <c r="C300" s="18">
        <f>IF($B300="","",N($J299))</f>
        <v/>
      </c>
      <c r="D300" s="38" t="n"/>
      <c r="E300" s="18">
        <f>IF($B300="","",N($C300)+N($D300))</f>
        <v/>
      </c>
      <c r="F300" s="18">
        <f>IF($B300="","",SUMIFS('العهد والرحلات'!$J$4:$J$2003,'العهد والرحلات'!$B$4:$B$2003,$B300))</f>
        <v/>
      </c>
      <c r="G300" s="18">
        <f>IF($B300="","",SUMIFS('الإيصالات'!$C$4:$C$2003,'الإيصالات'!$B$4:$B$2003,$B300))</f>
        <v/>
      </c>
      <c r="H300" s="38" t="n"/>
      <c r="I300" s="18">
        <f>IF($B300="","",N($F300)+N($G300)+N($H300))</f>
        <v/>
      </c>
      <c r="J300" s="18">
        <f>IF($B300="","",N($E300)-N($I300))</f>
        <v/>
      </c>
    </row>
    <row r="301">
      <c r="A301" s="16">
        <f>IF($B301="","",COUNTA($B$4:$B301))</f>
        <v/>
      </c>
      <c r="B301" s="72" t="n"/>
      <c r="C301" s="18">
        <f>IF($B301="","",N($J300))</f>
        <v/>
      </c>
      <c r="D301" s="40" t="n"/>
      <c r="E301" s="18">
        <f>IF($B301="","",N($C301)+N($D301))</f>
        <v/>
      </c>
      <c r="F301" s="18">
        <f>IF($B301="","",SUMIFS('العهد والرحلات'!$J$4:$J$2003,'العهد والرحلات'!$B$4:$B$2003,$B301))</f>
        <v/>
      </c>
      <c r="G301" s="18">
        <f>IF($B301="","",SUMIFS('الإيصالات'!$C$4:$C$2003,'الإيصالات'!$B$4:$B$2003,$B301))</f>
        <v/>
      </c>
      <c r="H301" s="40" t="n"/>
      <c r="I301" s="18">
        <f>IF($B301="","",N($F301)+N($G301)+N($H301))</f>
        <v/>
      </c>
      <c r="J301" s="18">
        <f>IF($B301="","",N($E301)-N($I301))</f>
        <v/>
      </c>
    </row>
    <row r="302">
      <c r="A302" s="16">
        <f>IF($B302="","",COUNTA($B$4:$B302))</f>
        <v/>
      </c>
      <c r="B302" s="71" t="n"/>
      <c r="C302" s="18">
        <f>IF($B302="","",N($J301))</f>
        <v/>
      </c>
      <c r="D302" s="38" t="n"/>
      <c r="E302" s="18">
        <f>IF($B302="","",N($C302)+N($D302))</f>
        <v/>
      </c>
      <c r="F302" s="18">
        <f>IF($B302="","",SUMIFS('العهد والرحلات'!$J$4:$J$2003,'العهد والرحلات'!$B$4:$B$2003,$B302))</f>
        <v/>
      </c>
      <c r="G302" s="18">
        <f>IF($B302="","",SUMIFS('الإيصالات'!$C$4:$C$2003,'الإيصالات'!$B$4:$B$2003,$B302))</f>
        <v/>
      </c>
      <c r="H302" s="38" t="n"/>
      <c r="I302" s="18">
        <f>IF($B302="","",N($F302)+N($G302)+N($H302))</f>
        <v/>
      </c>
      <c r="J302" s="18">
        <f>IF($B302="","",N($E302)-N($I302))</f>
        <v/>
      </c>
    </row>
    <row r="303">
      <c r="A303" s="16">
        <f>IF($B303="","",COUNTA($B$4:$B303))</f>
        <v/>
      </c>
      <c r="B303" s="72" t="n"/>
      <c r="C303" s="18">
        <f>IF($B303="","",N($J302))</f>
        <v/>
      </c>
      <c r="D303" s="40" t="n"/>
      <c r="E303" s="18">
        <f>IF($B303="","",N($C303)+N($D303))</f>
        <v/>
      </c>
      <c r="F303" s="18">
        <f>IF($B303="","",SUMIFS('العهد والرحلات'!$J$4:$J$2003,'العهد والرحلات'!$B$4:$B$2003,$B303))</f>
        <v/>
      </c>
      <c r="G303" s="18">
        <f>IF($B303="","",SUMIFS('الإيصالات'!$C$4:$C$2003,'الإيصالات'!$B$4:$B$2003,$B303))</f>
        <v/>
      </c>
      <c r="H303" s="40" t="n"/>
      <c r="I303" s="18">
        <f>IF($B303="","",N($F303)+N($G303)+N($H303))</f>
        <v/>
      </c>
      <c r="J303" s="18">
        <f>IF($B303="","",N($E303)-N($I303))</f>
        <v/>
      </c>
    </row>
    <row r="304">
      <c r="A304" s="16">
        <f>IF($B304="","",COUNTA($B$4:$B304))</f>
        <v/>
      </c>
      <c r="B304" s="71" t="n"/>
      <c r="C304" s="18">
        <f>IF($B304="","",N($J303))</f>
        <v/>
      </c>
      <c r="D304" s="38" t="n"/>
      <c r="E304" s="18">
        <f>IF($B304="","",N($C304)+N($D304))</f>
        <v/>
      </c>
      <c r="F304" s="18">
        <f>IF($B304="","",SUMIFS('العهد والرحلات'!$J$4:$J$2003,'العهد والرحلات'!$B$4:$B$2003,$B304))</f>
        <v/>
      </c>
      <c r="G304" s="18">
        <f>IF($B304="","",SUMIFS('الإيصالات'!$C$4:$C$2003,'الإيصالات'!$B$4:$B$2003,$B304))</f>
        <v/>
      </c>
      <c r="H304" s="38" t="n"/>
      <c r="I304" s="18">
        <f>IF($B304="","",N($F304)+N($G304)+N($H304))</f>
        <v/>
      </c>
      <c r="J304" s="18">
        <f>IF($B304="","",N($E304)-N($I304))</f>
        <v/>
      </c>
    </row>
    <row r="305">
      <c r="A305" s="16">
        <f>IF($B305="","",COUNTA($B$4:$B305))</f>
        <v/>
      </c>
      <c r="B305" s="72" t="n"/>
      <c r="C305" s="18">
        <f>IF($B305="","",N($J304))</f>
        <v/>
      </c>
      <c r="D305" s="40" t="n"/>
      <c r="E305" s="18">
        <f>IF($B305="","",N($C305)+N($D305))</f>
        <v/>
      </c>
      <c r="F305" s="18">
        <f>IF($B305="","",SUMIFS('العهد والرحلات'!$J$4:$J$2003,'العهد والرحلات'!$B$4:$B$2003,$B305))</f>
        <v/>
      </c>
      <c r="G305" s="18">
        <f>IF($B305="","",SUMIFS('الإيصالات'!$C$4:$C$2003,'الإيصالات'!$B$4:$B$2003,$B305))</f>
        <v/>
      </c>
      <c r="H305" s="40" t="n"/>
      <c r="I305" s="18">
        <f>IF($B305="","",N($F305)+N($G305)+N($H305))</f>
        <v/>
      </c>
      <c r="J305" s="18">
        <f>IF($B305="","",N($E305)-N($I305))</f>
        <v/>
      </c>
    </row>
    <row r="306">
      <c r="A306" s="16">
        <f>IF($B306="","",COUNTA($B$4:$B306))</f>
        <v/>
      </c>
      <c r="B306" s="71" t="n"/>
      <c r="C306" s="18">
        <f>IF($B306="","",N($J305))</f>
        <v/>
      </c>
      <c r="D306" s="38" t="n"/>
      <c r="E306" s="18">
        <f>IF($B306="","",N($C306)+N($D306))</f>
        <v/>
      </c>
      <c r="F306" s="18">
        <f>IF($B306="","",SUMIFS('العهد والرحلات'!$J$4:$J$2003,'العهد والرحلات'!$B$4:$B$2003,$B306))</f>
        <v/>
      </c>
      <c r="G306" s="18">
        <f>IF($B306="","",SUMIFS('الإيصالات'!$C$4:$C$2003,'الإيصالات'!$B$4:$B$2003,$B306))</f>
        <v/>
      </c>
      <c r="H306" s="38" t="n"/>
      <c r="I306" s="18">
        <f>IF($B306="","",N($F306)+N($G306)+N($H306))</f>
        <v/>
      </c>
      <c r="J306" s="18">
        <f>IF($B306="","",N($E306)-N($I306))</f>
        <v/>
      </c>
    </row>
    <row r="307">
      <c r="A307" s="16">
        <f>IF($B307="","",COUNTA($B$4:$B307))</f>
        <v/>
      </c>
      <c r="B307" s="72" t="n"/>
      <c r="C307" s="18">
        <f>IF($B307="","",N($J306))</f>
        <v/>
      </c>
      <c r="D307" s="40" t="n"/>
      <c r="E307" s="18">
        <f>IF($B307="","",N($C307)+N($D307))</f>
        <v/>
      </c>
      <c r="F307" s="18">
        <f>IF($B307="","",SUMIFS('العهد والرحلات'!$J$4:$J$2003,'العهد والرحلات'!$B$4:$B$2003,$B307))</f>
        <v/>
      </c>
      <c r="G307" s="18">
        <f>IF($B307="","",SUMIFS('الإيصالات'!$C$4:$C$2003,'الإيصالات'!$B$4:$B$2003,$B307))</f>
        <v/>
      </c>
      <c r="H307" s="40" t="n"/>
      <c r="I307" s="18">
        <f>IF($B307="","",N($F307)+N($G307)+N($H307))</f>
        <v/>
      </c>
      <c r="J307" s="18">
        <f>IF($B307="","",N($E307)-N($I307))</f>
        <v/>
      </c>
    </row>
    <row r="308">
      <c r="A308" s="16">
        <f>IF($B308="","",COUNTA($B$4:$B308))</f>
        <v/>
      </c>
      <c r="B308" s="71" t="n"/>
      <c r="C308" s="18">
        <f>IF($B308="","",N($J307))</f>
        <v/>
      </c>
      <c r="D308" s="38" t="n"/>
      <c r="E308" s="18">
        <f>IF($B308="","",N($C308)+N($D308))</f>
        <v/>
      </c>
      <c r="F308" s="18">
        <f>IF($B308="","",SUMIFS('العهد والرحلات'!$J$4:$J$2003,'العهد والرحلات'!$B$4:$B$2003,$B308))</f>
        <v/>
      </c>
      <c r="G308" s="18">
        <f>IF($B308="","",SUMIFS('الإيصالات'!$C$4:$C$2003,'الإيصالات'!$B$4:$B$2003,$B308))</f>
        <v/>
      </c>
      <c r="H308" s="38" t="n"/>
      <c r="I308" s="18">
        <f>IF($B308="","",N($F308)+N($G308)+N($H308))</f>
        <v/>
      </c>
      <c r="J308" s="18">
        <f>IF($B308="","",N($E308)-N($I308))</f>
        <v/>
      </c>
    </row>
    <row r="309">
      <c r="A309" s="16">
        <f>IF($B309="","",COUNTA($B$4:$B309))</f>
        <v/>
      </c>
      <c r="B309" s="72" t="n"/>
      <c r="C309" s="18">
        <f>IF($B309="","",N($J308))</f>
        <v/>
      </c>
      <c r="D309" s="40" t="n"/>
      <c r="E309" s="18">
        <f>IF($B309="","",N($C309)+N($D309))</f>
        <v/>
      </c>
      <c r="F309" s="18">
        <f>IF($B309="","",SUMIFS('العهد والرحلات'!$J$4:$J$2003,'العهد والرحلات'!$B$4:$B$2003,$B309))</f>
        <v/>
      </c>
      <c r="G309" s="18">
        <f>IF($B309="","",SUMIFS('الإيصالات'!$C$4:$C$2003,'الإيصالات'!$B$4:$B$2003,$B309))</f>
        <v/>
      </c>
      <c r="H309" s="40" t="n"/>
      <c r="I309" s="18">
        <f>IF($B309="","",N($F309)+N($G309)+N($H309))</f>
        <v/>
      </c>
      <c r="J309" s="18">
        <f>IF($B309="","",N($E309)-N($I309))</f>
        <v/>
      </c>
    </row>
    <row r="310">
      <c r="A310" s="16">
        <f>IF($B310="","",COUNTA($B$4:$B310))</f>
        <v/>
      </c>
      <c r="B310" s="71" t="n"/>
      <c r="C310" s="18">
        <f>IF($B310="","",N($J309))</f>
        <v/>
      </c>
      <c r="D310" s="38" t="n"/>
      <c r="E310" s="18">
        <f>IF($B310="","",N($C310)+N($D310))</f>
        <v/>
      </c>
      <c r="F310" s="18">
        <f>IF($B310="","",SUMIFS('العهد والرحلات'!$J$4:$J$2003,'العهد والرحلات'!$B$4:$B$2003,$B310))</f>
        <v/>
      </c>
      <c r="G310" s="18">
        <f>IF($B310="","",SUMIFS('الإيصالات'!$C$4:$C$2003,'الإيصالات'!$B$4:$B$2003,$B310))</f>
        <v/>
      </c>
      <c r="H310" s="38" t="n"/>
      <c r="I310" s="18">
        <f>IF($B310="","",N($F310)+N($G310)+N($H310))</f>
        <v/>
      </c>
      <c r="J310" s="18">
        <f>IF($B310="","",N($E310)-N($I310))</f>
        <v/>
      </c>
    </row>
    <row r="311">
      <c r="A311" s="16">
        <f>IF($B311="","",COUNTA($B$4:$B311))</f>
        <v/>
      </c>
      <c r="B311" s="72" t="n"/>
      <c r="C311" s="18">
        <f>IF($B311="","",N($J310))</f>
        <v/>
      </c>
      <c r="D311" s="40" t="n"/>
      <c r="E311" s="18">
        <f>IF($B311="","",N($C311)+N($D311))</f>
        <v/>
      </c>
      <c r="F311" s="18">
        <f>IF($B311="","",SUMIFS('العهد والرحلات'!$J$4:$J$2003,'العهد والرحلات'!$B$4:$B$2003,$B311))</f>
        <v/>
      </c>
      <c r="G311" s="18">
        <f>IF($B311="","",SUMIFS('الإيصالات'!$C$4:$C$2003,'الإيصالات'!$B$4:$B$2003,$B311))</f>
        <v/>
      </c>
      <c r="H311" s="40" t="n"/>
      <c r="I311" s="18">
        <f>IF($B311="","",N($F311)+N($G311)+N($H311))</f>
        <v/>
      </c>
      <c r="J311" s="18">
        <f>IF($B311="","",N($E311)-N($I311))</f>
        <v/>
      </c>
    </row>
    <row r="312">
      <c r="A312" s="16">
        <f>IF($B312="","",COUNTA($B$4:$B312))</f>
        <v/>
      </c>
      <c r="B312" s="71" t="n"/>
      <c r="C312" s="18">
        <f>IF($B312="","",N($J311))</f>
        <v/>
      </c>
      <c r="D312" s="38" t="n"/>
      <c r="E312" s="18">
        <f>IF($B312="","",N($C312)+N($D312))</f>
        <v/>
      </c>
      <c r="F312" s="18">
        <f>IF($B312="","",SUMIFS('العهد والرحلات'!$J$4:$J$2003,'العهد والرحلات'!$B$4:$B$2003,$B312))</f>
        <v/>
      </c>
      <c r="G312" s="18">
        <f>IF($B312="","",SUMIFS('الإيصالات'!$C$4:$C$2003,'الإيصالات'!$B$4:$B$2003,$B312))</f>
        <v/>
      </c>
      <c r="H312" s="38" t="n"/>
      <c r="I312" s="18">
        <f>IF($B312="","",N($F312)+N($G312)+N($H312))</f>
        <v/>
      </c>
      <c r="J312" s="18">
        <f>IF($B312="","",N($E312)-N($I312))</f>
        <v/>
      </c>
    </row>
    <row r="313">
      <c r="A313" s="16">
        <f>IF($B313="","",COUNTA($B$4:$B313))</f>
        <v/>
      </c>
      <c r="B313" s="72" t="n"/>
      <c r="C313" s="18">
        <f>IF($B313="","",N($J312))</f>
        <v/>
      </c>
      <c r="D313" s="40" t="n"/>
      <c r="E313" s="18">
        <f>IF($B313="","",N($C313)+N($D313))</f>
        <v/>
      </c>
      <c r="F313" s="18">
        <f>IF($B313="","",SUMIFS('العهد والرحلات'!$J$4:$J$2003,'العهد والرحلات'!$B$4:$B$2003,$B313))</f>
        <v/>
      </c>
      <c r="G313" s="18">
        <f>IF($B313="","",SUMIFS('الإيصالات'!$C$4:$C$2003,'الإيصالات'!$B$4:$B$2003,$B313))</f>
        <v/>
      </c>
      <c r="H313" s="40" t="n"/>
      <c r="I313" s="18">
        <f>IF($B313="","",N($F313)+N($G313)+N($H313))</f>
        <v/>
      </c>
      <c r="J313" s="18">
        <f>IF($B313="","",N($E313)-N($I313))</f>
        <v/>
      </c>
    </row>
    <row r="314">
      <c r="A314" s="16">
        <f>IF($B314="","",COUNTA($B$4:$B314))</f>
        <v/>
      </c>
      <c r="B314" s="71" t="n"/>
      <c r="C314" s="18">
        <f>IF($B314="","",N($J313))</f>
        <v/>
      </c>
      <c r="D314" s="38" t="n"/>
      <c r="E314" s="18">
        <f>IF($B314="","",N($C314)+N($D314))</f>
        <v/>
      </c>
      <c r="F314" s="18">
        <f>IF($B314="","",SUMIFS('العهد والرحلات'!$J$4:$J$2003,'العهد والرحلات'!$B$4:$B$2003,$B314))</f>
        <v/>
      </c>
      <c r="G314" s="18">
        <f>IF($B314="","",SUMIFS('الإيصالات'!$C$4:$C$2003,'الإيصالات'!$B$4:$B$2003,$B314))</f>
        <v/>
      </c>
      <c r="H314" s="38" t="n"/>
      <c r="I314" s="18">
        <f>IF($B314="","",N($F314)+N($G314)+N($H314))</f>
        <v/>
      </c>
      <c r="J314" s="18">
        <f>IF($B314="","",N($E314)-N($I314))</f>
        <v/>
      </c>
    </row>
    <row r="315">
      <c r="A315" s="16">
        <f>IF($B315="","",COUNTA($B$4:$B315))</f>
        <v/>
      </c>
      <c r="B315" s="72" t="n"/>
      <c r="C315" s="18">
        <f>IF($B315="","",N($J314))</f>
        <v/>
      </c>
      <c r="D315" s="40" t="n"/>
      <c r="E315" s="18">
        <f>IF($B315="","",N($C315)+N($D315))</f>
        <v/>
      </c>
      <c r="F315" s="18">
        <f>IF($B315="","",SUMIFS('العهد والرحلات'!$J$4:$J$2003,'العهد والرحلات'!$B$4:$B$2003,$B315))</f>
        <v/>
      </c>
      <c r="G315" s="18">
        <f>IF($B315="","",SUMIFS('الإيصالات'!$C$4:$C$2003,'الإيصالات'!$B$4:$B$2003,$B315))</f>
        <v/>
      </c>
      <c r="H315" s="40" t="n"/>
      <c r="I315" s="18">
        <f>IF($B315="","",N($F315)+N($G315)+N($H315))</f>
        <v/>
      </c>
      <c r="J315" s="18">
        <f>IF($B315="","",N($E315)-N($I315))</f>
        <v/>
      </c>
    </row>
    <row r="316">
      <c r="A316" s="16">
        <f>IF($B316="","",COUNTA($B$4:$B316))</f>
        <v/>
      </c>
      <c r="B316" s="71" t="n"/>
      <c r="C316" s="18">
        <f>IF($B316="","",N($J315))</f>
        <v/>
      </c>
      <c r="D316" s="38" t="n"/>
      <c r="E316" s="18">
        <f>IF($B316="","",N($C316)+N($D316))</f>
        <v/>
      </c>
      <c r="F316" s="18">
        <f>IF($B316="","",SUMIFS('العهد والرحلات'!$J$4:$J$2003,'العهد والرحلات'!$B$4:$B$2003,$B316))</f>
        <v/>
      </c>
      <c r="G316" s="18">
        <f>IF($B316="","",SUMIFS('الإيصالات'!$C$4:$C$2003,'الإيصالات'!$B$4:$B$2003,$B316))</f>
        <v/>
      </c>
      <c r="H316" s="38" t="n"/>
      <c r="I316" s="18">
        <f>IF($B316="","",N($F316)+N($G316)+N($H316))</f>
        <v/>
      </c>
      <c r="J316" s="18">
        <f>IF($B316="","",N($E316)-N($I316))</f>
        <v/>
      </c>
    </row>
    <row r="317">
      <c r="A317" s="16">
        <f>IF($B317="","",COUNTA($B$4:$B317))</f>
        <v/>
      </c>
      <c r="B317" s="72" t="n"/>
      <c r="C317" s="18">
        <f>IF($B317="","",N($J316))</f>
        <v/>
      </c>
      <c r="D317" s="40" t="n"/>
      <c r="E317" s="18">
        <f>IF($B317="","",N($C317)+N($D317))</f>
        <v/>
      </c>
      <c r="F317" s="18">
        <f>IF($B317="","",SUMIFS('العهد والرحلات'!$J$4:$J$2003,'العهد والرحلات'!$B$4:$B$2003,$B317))</f>
        <v/>
      </c>
      <c r="G317" s="18">
        <f>IF($B317="","",SUMIFS('الإيصالات'!$C$4:$C$2003,'الإيصالات'!$B$4:$B$2003,$B317))</f>
        <v/>
      </c>
      <c r="H317" s="40" t="n"/>
      <c r="I317" s="18">
        <f>IF($B317="","",N($F317)+N($G317)+N($H317))</f>
        <v/>
      </c>
      <c r="J317" s="18">
        <f>IF($B317="","",N($E317)-N($I317))</f>
        <v/>
      </c>
    </row>
    <row r="318">
      <c r="A318" s="16">
        <f>IF($B318="","",COUNTA($B$4:$B318))</f>
        <v/>
      </c>
      <c r="B318" s="71" t="n"/>
      <c r="C318" s="18">
        <f>IF($B318="","",N($J317))</f>
        <v/>
      </c>
      <c r="D318" s="38" t="n"/>
      <c r="E318" s="18">
        <f>IF($B318="","",N($C318)+N($D318))</f>
        <v/>
      </c>
      <c r="F318" s="18">
        <f>IF($B318="","",SUMIFS('العهد والرحلات'!$J$4:$J$2003,'العهد والرحلات'!$B$4:$B$2003,$B318))</f>
        <v/>
      </c>
      <c r="G318" s="18">
        <f>IF($B318="","",SUMIFS('الإيصالات'!$C$4:$C$2003,'الإيصالات'!$B$4:$B$2003,$B318))</f>
        <v/>
      </c>
      <c r="H318" s="38" t="n"/>
      <c r="I318" s="18">
        <f>IF($B318="","",N($F318)+N($G318)+N($H318))</f>
        <v/>
      </c>
      <c r="J318" s="18">
        <f>IF($B318="","",N($E318)-N($I318))</f>
        <v/>
      </c>
    </row>
    <row r="319">
      <c r="A319" s="16">
        <f>IF($B319="","",COUNTA($B$4:$B319))</f>
        <v/>
      </c>
      <c r="B319" s="72" t="n"/>
      <c r="C319" s="18">
        <f>IF($B319="","",N($J318))</f>
        <v/>
      </c>
      <c r="D319" s="40" t="n"/>
      <c r="E319" s="18">
        <f>IF($B319="","",N($C319)+N($D319))</f>
        <v/>
      </c>
      <c r="F319" s="18">
        <f>IF($B319="","",SUMIFS('العهد والرحلات'!$J$4:$J$2003,'العهد والرحلات'!$B$4:$B$2003,$B319))</f>
        <v/>
      </c>
      <c r="G319" s="18">
        <f>IF($B319="","",SUMIFS('الإيصالات'!$C$4:$C$2003,'الإيصالات'!$B$4:$B$2003,$B319))</f>
        <v/>
      </c>
      <c r="H319" s="40" t="n"/>
      <c r="I319" s="18">
        <f>IF($B319="","",N($F319)+N($G319)+N($H319))</f>
        <v/>
      </c>
      <c r="J319" s="18">
        <f>IF($B319="","",N($E319)-N($I319))</f>
        <v/>
      </c>
    </row>
    <row r="320">
      <c r="A320" s="16">
        <f>IF($B320="","",COUNTA($B$4:$B320))</f>
        <v/>
      </c>
      <c r="B320" s="71" t="n"/>
      <c r="C320" s="18">
        <f>IF($B320="","",N($J319))</f>
        <v/>
      </c>
      <c r="D320" s="38" t="n"/>
      <c r="E320" s="18">
        <f>IF($B320="","",N($C320)+N($D320))</f>
        <v/>
      </c>
      <c r="F320" s="18">
        <f>IF($B320="","",SUMIFS('العهد والرحلات'!$J$4:$J$2003,'العهد والرحلات'!$B$4:$B$2003,$B320))</f>
        <v/>
      </c>
      <c r="G320" s="18">
        <f>IF($B320="","",SUMIFS('الإيصالات'!$C$4:$C$2003,'الإيصالات'!$B$4:$B$2003,$B320))</f>
        <v/>
      </c>
      <c r="H320" s="38" t="n"/>
      <c r="I320" s="18">
        <f>IF($B320="","",N($F320)+N($G320)+N($H320))</f>
        <v/>
      </c>
      <c r="J320" s="18">
        <f>IF($B320="","",N($E320)-N($I320))</f>
        <v/>
      </c>
    </row>
    <row r="321">
      <c r="A321" s="16">
        <f>IF($B321="","",COUNTA($B$4:$B321))</f>
        <v/>
      </c>
      <c r="B321" s="72" t="n"/>
      <c r="C321" s="18">
        <f>IF($B321="","",N($J320))</f>
        <v/>
      </c>
      <c r="D321" s="40" t="n"/>
      <c r="E321" s="18">
        <f>IF($B321="","",N($C321)+N($D321))</f>
        <v/>
      </c>
      <c r="F321" s="18">
        <f>IF($B321="","",SUMIFS('العهد والرحلات'!$J$4:$J$2003,'العهد والرحلات'!$B$4:$B$2003,$B321))</f>
        <v/>
      </c>
      <c r="G321" s="18">
        <f>IF($B321="","",SUMIFS('الإيصالات'!$C$4:$C$2003,'الإيصالات'!$B$4:$B$2003,$B321))</f>
        <v/>
      </c>
      <c r="H321" s="40" t="n"/>
      <c r="I321" s="18">
        <f>IF($B321="","",N($F321)+N($G321)+N($H321))</f>
        <v/>
      </c>
      <c r="J321" s="18">
        <f>IF($B321="","",N($E321)-N($I321))</f>
        <v/>
      </c>
    </row>
    <row r="322">
      <c r="A322" s="16">
        <f>IF($B322="","",COUNTA($B$4:$B322))</f>
        <v/>
      </c>
      <c r="B322" s="71" t="n"/>
      <c r="C322" s="18">
        <f>IF($B322="","",N($J321))</f>
        <v/>
      </c>
      <c r="D322" s="38" t="n"/>
      <c r="E322" s="18">
        <f>IF($B322="","",N($C322)+N($D322))</f>
        <v/>
      </c>
      <c r="F322" s="18">
        <f>IF($B322="","",SUMIFS('العهد والرحلات'!$J$4:$J$2003,'العهد والرحلات'!$B$4:$B$2003,$B322))</f>
        <v/>
      </c>
      <c r="G322" s="18">
        <f>IF($B322="","",SUMIFS('الإيصالات'!$C$4:$C$2003,'الإيصالات'!$B$4:$B$2003,$B322))</f>
        <v/>
      </c>
      <c r="H322" s="38" t="n"/>
      <c r="I322" s="18">
        <f>IF($B322="","",N($F322)+N($G322)+N($H322))</f>
        <v/>
      </c>
      <c r="J322" s="18">
        <f>IF($B322="","",N($E322)-N($I322))</f>
        <v/>
      </c>
    </row>
    <row r="323">
      <c r="A323" s="16">
        <f>IF($B323="","",COUNTA($B$4:$B323))</f>
        <v/>
      </c>
      <c r="B323" s="72" t="n"/>
      <c r="C323" s="18">
        <f>IF($B323="","",N($J322))</f>
        <v/>
      </c>
      <c r="D323" s="40" t="n"/>
      <c r="E323" s="18">
        <f>IF($B323="","",N($C323)+N($D323))</f>
        <v/>
      </c>
      <c r="F323" s="18">
        <f>IF($B323="","",SUMIFS('العهد والرحلات'!$J$4:$J$2003,'العهد والرحلات'!$B$4:$B$2003,$B323))</f>
        <v/>
      </c>
      <c r="G323" s="18">
        <f>IF($B323="","",SUMIFS('الإيصالات'!$C$4:$C$2003,'الإيصالات'!$B$4:$B$2003,$B323))</f>
        <v/>
      </c>
      <c r="H323" s="40" t="n"/>
      <c r="I323" s="18">
        <f>IF($B323="","",N($F323)+N($G323)+N($H323))</f>
        <v/>
      </c>
      <c r="J323" s="18">
        <f>IF($B323="","",N($E323)-N($I323))</f>
        <v/>
      </c>
    </row>
    <row r="324">
      <c r="A324" s="16">
        <f>IF($B324="","",COUNTA($B$4:$B324))</f>
        <v/>
      </c>
      <c r="B324" s="71" t="n"/>
      <c r="C324" s="18">
        <f>IF($B324="","",N($J323))</f>
        <v/>
      </c>
      <c r="D324" s="38" t="n"/>
      <c r="E324" s="18">
        <f>IF($B324="","",N($C324)+N($D324))</f>
        <v/>
      </c>
      <c r="F324" s="18">
        <f>IF($B324="","",SUMIFS('العهد والرحلات'!$J$4:$J$2003,'العهد والرحلات'!$B$4:$B$2003,$B324))</f>
        <v/>
      </c>
      <c r="G324" s="18">
        <f>IF($B324="","",SUMIFS('الإيصالات'!$C$4:$C$2003,'الإيصالات'!$B$4:$B$2003,$B324))</f>
        <v/>
      </c>
      <c r="H324" s="38" t="n"/>
      <c r="I324" s="18">
        <f>IF($B324="","",N($F324)+N($G324)+N($H324))</f>
        <v/>
      </c>
      <c r="J324" s="18">
        <f>IF($B324="","",N($E324)-N($I324))</f>
        <v/>
      </c>
    </row>
    <row r="325">
      <c r="A325" s="16">
        <f>IF($B325="","",COUNTA($B$4:$B325))</f>
        <v/>
      </c>
      <c r="B325" s="72" t="n"/>
      <c r="C325" s="18">
        <f>IF($B325="","",N($J324))</f>
        <v/>
      </c>
      <c r="D325" s="40" t="n"/>
      <c r="E325" s="18">
        <f>IF($B325="","",N($C325)+N($D325))</f>
        <v/>
      </c>
      <c r="F325" s="18">
        <f>IF($B325="","",SUMIFS('العهد والرحلات'!$J$4:$J$2003,'العهد والرحلات'!$B$4:$B$2003,$B325))</f>
        <v/>
      </c>
      <c r="G325" s="18">
        <f>IF($B325="","",SUMIFS('الإيصالات'!$C$4:$C$2003,'الإيصالات'!$B$4:$B$2003,$B325))</f>
        <v/>
      </c>
      <c r="H325" s="40" t="n"/>
      <c r="I325" s="18">
        <f>IF($B325="","",N($F325)+N($G325)+N($H325))</f>
        <v/>
      </c>
      <c r="J325" s="18">
        <f>IF($B325="","",N($E325)-N($I325))</f>
        <v/>
      </c>
    </row>
    <row r="326">
      <c r="A326" s="16">
        <f>IF($B326="","",COUNTA($B$4:$B326))</f>
        <v/>
      </c>
      <c r="B326" s="71" t="n"/>
      <c r="C326" s="18">
        <f>IF($B326="","",N($J325))</f>
        <v/>
      </c>
      <c r="D326" s="38" t="n"/>
      <c r="E326" s="18">
        <f>IF($B326="","",N($C326)+N($D326))</f>
        <v/>
      </c>
      <c r="F326" s="18">
        <f>IF($B326="","",SUMIFS('العهد والرحلات'!$J$4:$J$2003,'العهد والرحلات'!$B$4:$B$2003,$B326))</f>
        <v/>
      </c>
      <c r="G326" s="18">
        <f>IF($B326="","",SUMIFS('الإيصالات'!$C$4:$C$2003,'الإيصالات'!$B$4:$B$2003,$B326))</f>
        <v/>
      </c>
      <c r="H326" s="38" t="n"/>
      <c r="I326" s="18">
        <f>IF($B326="","",N($F326)+N($G326)+N($H326))</f>
        <v/>
      </c>
      <c r="J326" s="18">
        <f>IF($B326="","",N($E326)-N($I326))</f>
        <v/>
      </c>
    </row>
    <row r="327">
      <c r="A327" s="16">
        <f>IF($B327="","",COUNTA($B$4:$B327))</f>
        <v/>
      </c>
      <c r="B327" s="72" t="n"/>
      <c r="C327" s="18">
        <f>IF($B327="","",N($J326))</f>
        <v/>
      </c>
      <c r="D327" s="40" t="n"/>
      <c r="E327" s="18">
        <f>IF($B327="","",N($C327)+N($D327))</f>
        <v/>
      </c>
      <c r="F327" s="18">
        <f>IF($B327="","",SUMIFS('العهد والرحلات'!$J$4:$J$2003,'العهد والرحلات'!$B$4:$B$2003,$B327))</f>
        <v/>
      </c>
      <c r="G327" s="18">
        <f>IF($B327="","",SUMIFS('الإيصالات'!$C$4:$C$2003,'الإيصالات'!$B$4:$B$2003,$B327))</f>
        <v/>
      </c>
      <c r="H327" s="40" t="n"/>
      <c r="I327" s="18">
        <f>IF($B327="","",N($F327)+N($G327)+N($H327))</f>
        <v/>
      </c>
      <c r="J327" s="18">
        <f>IF($B327="","",N($E327)-N($I327))</f>
        <v/>
      </c>
    </row>
    <row r="328">
      <c r="A328" s="16">
        <f>IF($B328="","",COUNTA($B$4:$B328))</f>
        <v/>
      </c>
      <c r="B328" s="71" t="n"/>
      <c r="C328" s="18">
        <f>IF($B328="","",N($J327))</f>
        <v/>
      </c>
      <c r="D328" s="38" t="n"/>
      <c r="E328" s="18">
        <f>IF($B328="","",N($C328)+N($D328))</f>
        <v/>
      </c>
      <c r="F328" s="18">
        <f>IF($B328="","",SUMIFS('العهد والرحلات'!$J$4:$J$2003,'العهد والرحلات'!$B$4:$B$2003,$B328))</f>
        <v/>
      </c>
      <c r="G328" s="18">
        <f>IF($B328="","",SUMIFS('الإيصالات'!$C$4:$C$2003,'الإيصالات'!$B$4:$B$2003,$B328))</f>
        <v/>
      </c>
      <c r="H328" s="38" t="n"/>
      <c r="I328" s="18">
        <f>IF($B328="","",N($F328)+N($G328)+N($H328))</f>
        <v/>
      </c>
      <c r="J328" s="18">
        <f>IF($B328="","",N($E328)-N($I328))</f>
        <v/>
      </c>
    </row>
    <row r="329">
      <c r="A329" s="16">
        <f>IF($B329="","",COUNTA($B$4:$B329))</f>
        <v/>
      </c>
      <c r="B329" s="72" t="n"/>
      <c r="C329" s="18">
        <f>IF($B329="","",N($J328))</f>
        <v/>
      </c>
      <c r="D329" s="40" t="n"/>
      <c r="E329" s="18">
        <f>IF($B329="","",N($C329)+N($D329))</f>
        <v/>
      </c>
      <c r="F329" s="18">
        <f>IF($B329="","",SUMIFS('العهد والرحلات'!$J$4:$J$2003,'العهد والرحلات'!$B$4:$B$2003,$B329))</f>
        <v/>
      </c>
      <c r="G329" s="18">
        <f>IF($B329="","",SUMIFS('الإيصالات'!$C$4:$C$2003,'الإيصالات'!$B$4:$B$2003,$B329))</f>
        <v/>
      </c>
      <c r="H329" s="40" t="n"/>
      <c r="I329" s="18">
        <f>IF($B329="","",N($F329)+N($G329)+N($H329))</f>
        <v/>
      </c>
      <c r="J329" s="18">
        <f>IF($B329="","",N($E329)-N($I329))</f>
        <v/>
      </c>
    </row>
    <row r="330">
      <c r="A330" s="16">
        <f>IF($B330="","",COUNTA($B$4:$B330))</f>
        <v/>
      </c>
      <c r="B330" s="71" t="n"/>
      <c r="C330" s="18">
        <f>IF($B330="","",N($J329))</f>
        <v/>
      </c>
      <c r="D330" s="38" t="n"/>
      <c r="E330" s="18">
        <f>IF($B330="","",N($C330)+N($D330))</f>
        <v/>
      </c>
      <c r="F330" s="18">
        <f>IF($B330="","",SUMIFS('العهد والرحلات'!$J$4:$J$2003,'العهد والرحلات'!$B$4:$B$2003,$B330))</f>
        <v/>
      </c>
      <c r="G330" s="18">
        <f>IF($B330="","",SUMIFS('الإيصالات'!$C$4:$C$2003,'الإيصالات'!$B$4:$B$2003,$B330))</f>
        <v/>
      </c>
      <c r="H330" s="38" t="n"/>
      <c r="I330" s="18">
        <f>IF($B330="","",N($F330)+N($G330)+N($H330))</f>
        <v/>
      </c>
      <c r="J330" s="18">
        <f>IF($B330="","",N($E330)-N($I330))</f>
        <v/>
      </c>
    </row>
    <row r="331">
      <c r="A331" s="16">
        <f>IF($B331="","",COUNTA($B$4:$B331))</f>
        <v/>
      </c>
      <c r="B331" s="72" t="n"/>
      <c r="C331" s="18">
        <f>IF($B331="","",N($J330))</f>
        <v/>
      </c>
      <c r="D331" s="40" t="n"/>
      <c r="E331" s="18">
        <f>IF($B331="","",N($C331)+N($D331))</f>
        <v/>
      </c>
      <c r="F331" s="18">
        <f>IF($B331="","",SUMIFS('العهد والرحلات'!$J$4:$J$2003,'العهد والرحلات'!$B$4:$B$2003,$B331))</f>
        <v/>
      </c>
      <c r="G331" s="18">
        <f>IF($B331="","",SUMIFS('الإيصالات'!$C$4:$C$2003,'الإيصالات'!$B$4:$B$2003,$B331))</f>
        <v/>
      </c>
      <c r="H331" s="40" t="n"/>
      <c r="I331" s="18">
        <f>IF($B331="","",N($F331)+N($G331)+N($H331))</f>
        <v/>
      </c>
      <c r="J331" s="18">
        <f>IF($B331="","",N($E331)-N($I331))</f>
        <v/>
      </c>
    </row>
    <row r="332">
      <c r="A332" s="16">
        <f>IF($B332="","",COUNTA($B$4:$B332))</f>
        <v/>
      </c>
      <c r="B332" s="71" t="n"/>
      <c r="C332" s="18">
        <f>IF($B332="","",N($J331))</f>
        <v/>
      </c>
      <c r="D332" s="38" t="n"/>
      <c r="E332" s="18">
        <f>IF($B332="","",N($C332)+N($D332))</f>
        <v/>
      </c>
      <c r="F332" s="18">
        <f>IF($B332="","",SUMIFS('العهد والرحلات'!$J$4:$J$2003,'العهد والرحلات'!$B$4:$B$2003,$B332))</f>
        <v/>
      </c>
      <c r="G332" s="18">
        <f>IF($B332="","",SUMIFS('الإيصالات'!$C$4:$C$2003,'الإيصالات'!$B$4:$B$2003,$B332))</f>
        <v/>
      </c>
      <c r="H332" s="38" t="n"/>
      <c r="I332" s="18">
        <f>IF($B332="","",N($F332)+N($G332)+N($H332))</f>
        <v/>
      </c>
      <c r="J332" s="18">
        <f>IF($B332="","",N($E332)-N($I332))</f>
        <v/>
      </c>
    </row>
    <row r="333">
      <c r="A333" s="16">
        <f>IF($B333="","",COUNTA($B$4:$B333))</f>
        <v/>
      </c>
      <c r="B333" s="72" t="n"/>
      <c r="C333" s="18">
        <f>IF($B333="","",N($J332))</f>
        <v/>
      </c>
      <c r="D333" s="40" t="n"/>
      <c r="E333" s="18">
        <f>IF($B333="","",N($C333)+N($D333))</f>
        <v/>
      </c>
      <c r="F333" s="18">
        <f>IF($B333="","",SUMIFS('العهد والرحلات'!$J$4:$J$2003,'العهد والرحلات'!$B$4:$B$2003,$B333))</f>
        <v/>
      </c>
      <c r="G333" s="18">
        <f>IF($B333="","",SUMIFS('الإيصالات'!$C$4:$C$2003,'الإيصالات'!$B$4:$B$2003,$B333))</f>
        <v/>
      </c>
      <c r="H333" s="40" t="n"/>
      <c r="I333" s="18">
        <f>IF($B333="","",N($F333)+N($G333)+N($H333))</f>
        <v/>
      </c>
      <c r="J333" s="18">
        <f>IF($B333="","",N($E333)-N($I333))</f>
        <v/>
      </c>
    </row>
    <row r="334">
      <c r="A334" s="16">
        <f>IF($B334="","",COUNTA($B$4:$B334))</f>
        <v/>
      </c>
      <c r="B334" s="71" t="n"/>
      <c r="C334" s="18">
        <f>IF($B334="","",N($J333))</f>
        <v/>
      </c>
      <c r="D334" s="38" t="n"/>
      <c r="E334" s="18">
        <f>IF($B334="","",N($C334)+N($D334))</f>
        <v/>
      </c>
      <c r="F334" s="18">
        <f>IF($B334="","",SUMIFS('العهد والرحلات'!$J$4:$J$2003,'العهد والرحلات'!$B$4:$B$2003,$B334))</f>
        <v/>
      </c>
      <c r="G334" s="18">
        <f>IF($B334="","",SUMIFS('الإيصالات'!$C$4:$C$2003,'الإيصالات'!$B$4:$B$2003,$B334))</f>
        <v/>
      </c>
      <c r="H334" s="38" t="n"/>
      <c r="I334" s="18">
        <f>IF($B334="","",N($F334)+N($G334)+N($H334))</f>
        <v/>
      </c>
      <c r="J334" s="18">
        <f>IF($B334="","",N($E334)-N($I334))</f>
        <v/>
      </c>
    </row>
    <row r="335">
      <c r="A335" s="16">
        <f>IF($B335="","",COUNTA($B$4:$B335))</f>
        <v/>
      </c>
      <c r="B335" s="72" t="n"/>
      <c r="C335" s="18">
        <f>IF($B335="","",N($J334))</f>
        <v/>
      </c>
      <c r="D335" s="40" t="n"/>
      <c r="E335" s="18">
        <f>IF($B335="","",N($C335)+N($D335))</f>
        <v/>
      </c>
      <c r="F335" s="18">
        <f>IF($B335="","",SUMIFS('العهد والرحلات'!$J$4:$J$2003,'العهد والرحلات'!$B$4:$B$2003,$B335))</f>
        <v/>
      </c>
      <c r="G335" s="18">
        <f>IF($B335="","",SUMIFS('الإيصالات'!$C$4:$C$2003,'الإيصالات'!$B$4:$B$2003,$B335))</f>
        <v/>
      </c>
      <c r="H335" s="40" t="n"/>
      <c r="I335" s="18">
        <f>IF($B335="","",N($F335)+N($G335)+N($H335))</f>
        <v/>
      </c>
      <c r="J335" s="18">
        <f>IF($B335="","",N($E335)-N($I335))</f>
        <v/>
      </c>
    </row>
    <row r="336">
      <c r="A336" s="16">
        <f>IF($B336="","",COUNTA($B$4:$B336))</f>
        <v/>
      </c>
      <c r="B336" s="71" t="n"/>
      <c r="C336" s="18">
        <f>IF($B336="","",N($J335))</f>
        <v/>
      </c>
      <c r="D336" s="38" t="n"/>
      <c r="E336" s="18">
        <f>IF($B336="","",N($C336)+N($D336))</f>
        <v/>
      </c>
      <c r="F336" s="18">
        <f>IF($B336="","",SUMIFS('العهد والرحلات'!$J$4:$J$2003,'العهد والرحلات'!$B$4:$B$2003,$B336))</f>
        <v/>
      </c>
      <c r="G336" s="18">
        <f>IF($B336="","",SUMIFS('الإيصالات'!$C$4:$C$2003,'الإيصالات'!$B$4:$B$2003,$B336))</f>
        <v/>
      </c>
      <c r="H336" s="38" t="n"/>
      <c r="I336" s="18">
        <f>IF($B336="","",N($F336)+N($G336)+N($H336))</f>
        <v/>
      </c>
      <c r="J336" s="18">
        <f>IF($B336="","",N($E336)-N($I336))</f>
        <v/>
      </c>
    </row>
    <row r="337">
      <c r="A337" s="16">
        <f>IF($B337="","",COUNTA($B$4:$B337))</f>
        <v/>
      </c>
      <c r="B337" s="72" t="n"/>
      <c r="C337" s="18">
        <f>IF($B337="","",N($J336))</f>
        <v/>
      </c>
      <c r="D337" s="40" t="n"/>
      <c r="E337" s="18">
        <f>IF($B337="","",N($C337)+N($D337))</f>
        <v/>
      </c>
      <c r="F337" s="18">
        <f>IF($B337="","",SUMIFS('العهد والرحلات'!$J$4:$J$2003,'العهد والرحلات'!$B$4:$B$2003,$B337))</f>
        <v/>
      </c>
      <c r="G337" s="18">
        <f>IF($B337="","",SUMIFS('الإيصالات'!$C$4:$C$2003,'الإيصالات'!$B$4:$B$2003,$B337))</f>
        <v/>
      </c>
      <c r="H337" s="40" t="n"/>
      <c r="I337" s="18">
        <f>IF($B337="","",N($F337)+N($G337)+N($H337))</f>
        <v/>
      </c>
      <c r="J337" s="18">
        <f>IF($B337="","",N($E337)-N($I337))</f>
        <v/>
      </c>
    </row>
    <row r="338">
      <c r="A338" s="16">
        <f>IF($B338="","",COUNTA($B$4:$B338))</f>
        <v/>
      </c>
      <c r="B338" s="71" t="n"/>
      <c r="C338" s="18">
        <f>IF($B338="","",N($J337))</f>
        <v/>
      </c>
      <c r="D338" s="38" t="n"/>
      <c r="E338" s="18">
        <f>IF($B338="","",N($C338)+N($D338))</f>
        <v/>
      </c>
      <c r="F338" s="18">
        <f>IF($B338="","",SUMIFS('العهد والرحلات'!$J$4:$J$2003,'العهد والرحلات'!$B$4:$B$2003,$B338))</f>
        <v/>
      </c>
      <c r="G338" s="18">
        <f>IF($B338="","",SUMIFS('الإيصالات'!$C$4:$C$2003,'الإيصالات'!$B$4:$B$2003,$B338))</f>
        <v/>
      </c>
      <c r="H338" s="38" t="n"/>
      <c r="I338" s="18">
        <f>IF($B338="","",N($F338)+N($G338)+N($H338))</f>
        <v/>
      </c>
      <c r="J338" s="18">
        <f>IF($B338="","",N($E338)-N($I338))</f>
        <v/>
      </c>
    </row>
    <row r="339">
      <c r="A339" s="16">
        <f>IF($B339="","",COUNTA($B$4:$B339))</f>
        <v/>
      </c>
      <c r="B339" s="72" t="n"/>
      <c r="C339" s="18">
        <f>IF($B339="","",N($J338))</f>
        <v/>
      </c>
      <c r="D339" s="40" t="n"/>
      <c r="E339" s="18">
        <f>IF($B339="","",N($C339)+N($D339))</f>
        <v/>
      </c>
      <c r="F339" s="18">
        <f>IF($B339="","",SUMIFS('العهد والرحلات'!$J$4:$J$2003,'العهد والرحلات'!$B$4:$B$2003,$B339))</f>
        <v/>
      </c>
      <c r="G339" s="18">
        <f>IF($B339="","",SUMIFS('الإيصالات'!$C$4:$C$2003,'الإيصالات'!$B$4:$B$2003,$B339))</f>
        <v/>
      </c>
      <c r="H339" s="40" t="n"/>
      <c r="I339" s="18">
        <f>IF($B339="","",N($F339)+N($G339)+N($H339))</f>
        <v/>
      </c>
      <c r="J339" s="18">
        <f>IF($B339="","",N($E339)-N($I339))</f>
        <v/>
      </c>
    </row>
    <row r="340">
      <c r="A340" s="16">
        <f>IF($B340="","",COUNTA($B$4:$B340))</f>
        <v/>
      </c>
      <c r="B340" s="71" t="n"/>
      <c r="C340" s="18">
        <f>IF($B340="","",N($J339))</f>
        <v/>
      </c>
      <c r="D340" s="38" t="n"/>
      <c r="E340" s="18">
        <f>IF($B340="","",N($C340)+N($D340))</f>
        <v/>
      </c>
      <c r="F340" s="18">
        <f>IF($B340="","",SUMIFS('العهد والرحلات'!$J$4:$J$2003,'العهد والرحلات'!$B$4:$B$2003,$B340))</f>
        <v/>
      </c>
      <c r="G340" s="18">
        <f>IF($B340="","",SUMIFS('الإيصالات'!$C$4:$C$2003,'الإيصالات'!$B$4:$B$2003,$B340))</f>
        <v/>
      </c>
      <c r="H340" s="38" t="n"/>
      <c r="I340" s="18">
        <f>IF($B340="","",N($F340)+N($G340)+N($H340))</f>
        <v/>
      </c>
      <c r="J340" s="18">
        <f>IF($B340="","",N($E340)-N($I340))</f>
        <v/>
      </c>
    </row>
    <row r="341">
      <c r="A341" s="16">
        <f>IF($B341="","",COUNTA($B$4:$B341))</f>
        <v/>
      </c>
      <c r="B341" s="72" t="n"/>
      <c r="C341" s="18">
        <f>IF($B341="","",N($J340))</f>
        <v/>
      </c>
      <c r="D341" s="40" t="n"/>
      <c r="E341" s="18">
        <f>IF($B341="","",N($C341)+N($D341))</f>
        <v/>
      </c>
      <c r="F341" s="18">
        <f>IF($B341="","",SUMIFS('العهد والرحلات'!$J$4:$J$2003,'العهد والرحلات'!$B$4:$B$2003,$B341))</f>
        <v/>
      </c>
      <c r="G341" s="18">
        <f>IF($B341="","",SUMIFS('الإيصالات'!$C$4:$C$2003,'الإيصالات'!$B$4:$B$2003,$B341))</f>
        <v/>
      </c>
      <c r="H341" s="40" t="n"/>
      <c r="I341" s="18">
        <f>IF($B341="","",N($F341)+N($G341)+N($H341))</f>
        <v/>
      </c>
      <c r="J341" s="18">
        <f>IF($B341="","",N($E341)-N($I341))</f>
        <v/>
      </c>
    </row>
    <row r="342">
      <c r="A342" s="16">
        <f>IF($B342="","",COUNTA($B$4:$B342))</f>
        <v/>
      </c>
      <c r="B342" s="71" t="n"/>
      <c r="C342" s="18">
        <f>IF($B342="","",N($J341))</f>
        <v/>
      </c>
      <c r="D342" s="38" t="n"/>
      <c r="E342" s="18">
        <f>IF($B342="","",N($C342)+N($D342))</f>
        <v/>
      </c>
      <c r="F342" s="18">
        <f>IF($B342="","",SUMIFS('العهد والرحلات'!$J$4:$J$2003,'العهد والرحلات'!$B$4:$B$2003,$B342))</f>
        <v/>
      </c>
      <c r="G342" s="18">
        <f>IF($B342="","",SUMIFS('الإيصالات'!$C$4:$C$2003,'الإيصالات'!$B$4:$B$2003,$B342))</f>
        <v/>
      </c>
      <c r="H342" s="38" t="n"/>
      <c r="I342" s="18">
        <f>IF($B342="","",N($F342)+N($G342)+N($H342))</f>
        <v/>
      </c>
      <c r="J342" s="18">
        <f>IF($B342="","",N($E342)-N($I342))</f>
        <v/>
      </c>
    </row>
    <row r="343">
      <c r="A343" s="16">
        <f>IF($B343="","",COUNTA($B$4:$B343))</f>
        <v/>
      </c>
      <c r="B343" s="72" t="n"/>
      <c r="C343" s="18">
        <f>IF($B343="","",N($J342))</f>
        <v/>
      </c>
      <c r="D343" s="40" t="n"/>
      <c r="E343" s="18">
        <f>IF($B343="","",N($C343)+N($D343))</f>
        <v/>
      </c>
      <c r="F343" s="18">
        <f>IF($B343="","",SUMIFS('العهد والرحلات'!$J$4:$J$2003,'العهد والرحلات'!$B$4:$B$2003,$B343))</f>
        <v/>
      </c>
      <c r="G343" s="18">
        <f>IF($B343="","",SUMIFS('الإيصالات'!$C$4:$C$2003,'الإيصالات'!$B$4:$B$2003,$B343))</f>
        <v/>
      </c>
      <c r="H343" s="40" t="n"/>
      <c r="I343" s="18">
        <f>IF($B343="","",N($F343)+N($G343)+N($H343))</f>
        <v/>
      </c>
      <c r="J343" s="18">
        <f>IF($B343="","",N($E343)-N($I343))</f>
        <v/>
      </c>
    </row>
    <row r="344">
      <c r="A344" s="16">
        <f>IF($B344="","",COUNTA($B$4:$B344))</f>
        <v/>
      </c>
      <c r="B344" s="71" t="n"/>
      <c r="C344" s="18">
        <f>IF($B344="","",N($J343))</f>
        <v/>
      </c>
      <c r="D344" s="38" t="n"/>
      <c r="E344" s="18">
        <f>IF($B344="","",N($C344)+N($D344))</f>
        <v/>
      </c>
      <c r="F344" s="18">
        <f>IF($B344="","",SUMIFS('العهد والرحلات'!$J$4:$J$2003,'العهد والرحلات'!$B$4:$B$2003,$B344))</f>
        <v/>
      </c>
      <c r="G344" s="18">
        <f>IF($B344="","",SUMIFS('الإيصالات'!$C$4:$C$2003,'الإيصالات'!$B$4:$B$2003,$B344))</f>
        <v/>
      </c>
      <c r="H344" s="38" t="n"/>
      <c r="I344" s="18">
        <f>IF($B344="","",N($F344)+N($G344)+N($H344))</f>
        <v/>
      </c>
      <c r="J344" s="18">
        <f>IF($B344="","",N($E344)-N($I344))</f>
        <v/>
      </c>
    </row>
    <row r="345">
      <c r="A345" s="16">
        <f>IF($B345="","",COUNTA($B$4:$B345))</f>
        <v/>
      </c>
      <c r="B345" s="72" t="n"/>
      <c r="C345" s="18">
        <f>IF($B345="","",N($J344))</f>
        <v/>
      </c>
      <c r="D345" s="40" t="n"/>
      <c r="E345" s="18">
        <f>IF($B345="","",N($C345)+N($D345))</f>
        <v/>
      </c>
      <c r="F345" s="18">
        <f>IF($B345="","",SUMIFS('العهد والرحلات'!$J$4:$J$2003,'العهد والرحلات'!$B$4:$B$2003,$B345))</f>
        <v/>
      </c>
      <c r="G345" s="18">
        <f>IF($B345="","",SUMIFS('الإيصالات'!$C$4:$C$2003,'الإيصالات'!$B$4:$B$2003,$B345))</f>
        <v/>
      </c>
      <c r="H345" s="40" t="n"/>
      <c r="I345" s="18">
        <f>IF($B345="","",N($F345)+N($G345)+N($H345))</f>
        <v/>
      </c>
      <c r="J345" s="18">
        <f>IF($B345="","",N($E345)-N($I345))</f>
        <v/>
      </c>
    </row>
    <row r="346">
      <c r="A346" s="16">
        <f>IF($B346="","",COUNTA($B$4:$B346))</f>
        <v/>
      </c>
      <c r="B346" s="71" t="n"/>
      <c r="C346" s="18">
        <f>IF($B346="","",N($J345))</f>
        <v/>
      </c>
      <c r="D346" s="38" t="n"/>
      <c r="E346" s="18">
        <f>IF($B346="","",N($C346)+N($D346))</f>
        <v/>
      </c>
      <c r="F346" s="18">
        <f>IF($B346="","",SUMIFS('العهد والرحلات'!$J$4:$J$2003,'العهد والرحلات'!$B$4:$B$2003,$B346))</f>
        <v/>
      </c>
      <c r="G346" s="18">
        <f>IF($B346="","",SUMIFS('الإيصالات'!$C$4:$C$2003,'الإيصالات'!$B$4:$B$2003,$B346))</f>
        <v/>
      </c>
      <c r="H346" s="38" t="n"/>
      <c r="I346" s="18">
        <f>IF($B346="","",N($F346)+N($G346)+N($H346))</f>
        <v/>
      </c>
      <c r="J346" s="18">
        <f>IF($B346="","",N($E346)-N($I346))</f>
        <v/>
      </c>
    </row>
    <row r="347">
      <c r="A347" s="16">
        <f>IF($B347="","",COUNTA($B$4:$B347))</f>
        <v/>
      </c>
      <c r="B347" s="72" t="n"/>
      <c r="C347" s="18">
        <f>IF($B347="","",N($J346))</f>
        <v/>
      </c>
      <c r="D347" s="40" t="n"/>
      <c r="E347" s="18">
        <f>IF($B347="","",N($C347)+N($D347))</f>
        <v/>
      </c>
      <c r="F347" s="18">
        <f>IF($B347="","",SUMIFS('العهد والرحلات'!$J$4:$J$2003,'العهد والرحلات'!$B$4:$B$2003,$B347))</f>
        <v/>
      </c>
      <c r="G347" s="18">
        <f>IF($B347="","",SUMIFS('الإيصالات'!$C$4:$C$2003,'الإيصالات'!$B$4:$B$2003,$B347))</f>
        <v/>
      </c>
      <c r="H347" s="40" t="n"/>
      <c r="I347" s="18">
        <f>IF($B347="","",N($F347)+N($G347)+N($H347))</f>
        <v/>
      </c>
      <c r="J347" s="18">
        <f>IF($B347="","",N($E347)-N($I347))</f>
        <v/>
      </c>
    </row>
    <row r="348">
      <c r="A348" s="16">
        <f>IF($B348="","",COUNTA($B$4:$B348))</f>
        <v/>
      </c>
      <c r="B348" s="71" t="n"/>
      <c r="C348" s="18">
        <f>IF($B348="","",N($J347))</f>
        <v/>
      </c>
      <c r="D348" s="38" t="n"/>
      <c r="E348" s="18">
        <f>IF($B348="","",N($C348)+N($D348))</f>
        <v/>
      </c>
      <c r="F348" s="18">
        <f>IF($B348="","",SUMIFS('العهد والرحلات'!$J$4:$J$2003,'العهد والرحلات'!$B$4:$B$2003,$B348))</f>
        <v/>
      </c>
      <c r="G348" s="18">
        <f>IF($B348="","",SUMIFS('الإيصالات'!$C$4:$C$2003,'الإيصالات'!$B$4:$B$2003,$B348))</f>
        <v/>
      </c>
      <c r="H348" s="38" t="n"/>
      <c r="I348" s="18">
        <f>IF($B348="","",N($F348)+N($G348)+N($H348))</f>
        <v/>
      </c>
      <c r="J348" s="18">
        <f>IF($B348="","",N($E348)-N($I348))</f>
        <v/>
      </c>
    </row>
    <row r="349">
      <c r="A349" s="16">
        <f>IF($B349="","",COUNTA($B$4:$B349))</f>
        <v/>
      </c>
      <c r="B349" s="72" t="n"/>
      <c r="C349" s="18">
        <f>IF($B349="","",N($J348))</f>
        <v/>
      </c>
      <c r="D349" s="40" t="n"/>
      <c r="E349" s="18">
        <f>IF($B349="","",N($C349)+N($D349))</f>
        <v/>
      </c>
      <c r="F349" s="18">
        <f>IF($B349="","",SUMIFS('العهد والرحلات'!$J$4:$J$2003,'العهد والرحلات'!$B$4:$B$2003,$B349))</f>
        <v/>
      </c>
      <c r="G349" s="18">
        <f>IF($B349="","",SUMIFS('الإيصالات'!$C$4:$C$2003,'الإيصالات'!$B$4:$B$2003,$B349))</f>
        <v/>
      </c>
      <c r="H349" s="40" t="n"/>
      <c r="I349" s="18">
        <f>IF($B349="","",N($F349)+N($G349)+N($H349))</f>
        <v/>
      </c>
      <c r="J349" s="18">
        <f>IF($B349="","",N($E349)-N($I349))</f>
        <v/>
      </c>
    </row>
    <row r="350">
      <c r="A350" s="16">
        <f>IF($B350="","",COUNTA($B$4:$B350))</f>
        <v/>
      </c>
      <c r="B350" s="71" t="n"/>
      <c r="C350" s="18">
        <f>IF($B350="","",N($J349))</f>
        <v/>
      </c>
      <c r="D350" s="38" t="n"/>
      <c r="E350" s="18">
        <f>IF($B350="","",N($C350)+N($D350))</f>
        <v/>
      </c>
      <c r="F350" s="18">
        <f>IF($B350="","",SUMIFS('العهد والرحلات'!$J$4:$J$2003,'العهد والرحلات'!$B$4:$B$2003,$B350))</f>
        <v/>
      </c>
      <c r="G350" s="18">
        <f>IF($B350="","",SUMIFS('الإيصالات'!$C$4:$C$2003,'الإيصالات'!$B$4:$B$2003,$B350))</f>
        <v/>
      </c>
      <c r="H350" s="38" t="n"/>
      <c r="I350" s="18">
        <f>IF($B350="","",N($F350)+N($G350)+N($H350))</f>
        <v/>
      </c>
      <c r="J350" s="18">
        <f>IF($B350="","",N($E350)-N($I350))</f>
        <v/>
      </c>
    </row>
    <row r="351">
      <c r="A351" s="16">
        <f>IF($B351="","",COUNTA($B$4:$B351))</f>
        <v/>
      </c>
      <c r="B351" s="72" t="n"/>
      <c r="C351" s="18">
        <f>IF($B351="","",N($J350))</f>
        <v/>
      </c>
      <c r="D351" s="40" t="n"/>
      <c r="E351" s="18">
        <f>IF($B351="","",N($C351)+N($D351))</f>
        <v/>
      </c>
      <c r="F351" s="18">
        <f>IF($B351="","",SUMIFS('العهد والرحلات'!$J$4:$J$2003,'العهد والرحلات'!$B$4:$B$2003,$B351))</f>
        <v/>
      </c>
      <c r="G351" s="18">
        <f>IF($B351="","",SUMIFS('الإيصالات'!$C$4:$C$2003,'الإيصالات'!$B$4:$B$2003,$B351))</f>
        <v/>
      </c>
      <c r="H351" s="40" t="n"/>
      <c r="I351" s="18">
        <f>IF($B351="","",N($F351)+N($G351)+N($H351))</f>
        <v/>
      </c>
      <c r="J351" s="18">
        <f>IF($B351="","",N($E351)-N($I351))</f>
        <v/>
      </c>
    </row>
    <row r="352">
      <c r="A352" s="16">
        <f>IF($B352="","",COUNTA($B$4:$B352))</f>
        <v/>
      </c>
      <c r="B352" s="71" t="n"/>
      <c r="C352" s="18">
        <f>IF($B352="","",N($J351))</f>
        <v/>
      </c>
      <c r="D352" s="38" t="n"/>
      <c r="E352" s="18">
        <f>IF($B352="","",N($C352)+N($D352))</f>
        <v/>
      </c>
      <c r="F352" s="18">
        <f>IF($B352="","",SUMIFS('العهد والرحلات'!$J$4:$J$2003,'العهد والرحلات'!$B$4:$B$2003,$B352))</f>
        <v/>
      </c>
      <c r="G352" s="18">
        <f>IF($B352="","",SUMIFS('الإيصالات'!$C$4:$C$2003,'الإيصالات'!$B$4:$B$2003,$B352))</f>
        <v/>
      </c>
      <c r="H352" s="38" t="n"/>
      <c r="I352" s="18">
        <f>IF($B352="","",N($F352)+N($G352)+N($H352))</f>
        <v/>
      </c>
      <c r="J352" s="18">
        <f>IF($B352="","",N($E352)-N($I352))</f>
        <v/>
      </c>
    </row>
    <row r="353">
      <c r="A353" s="16">
        <f>IF($B353="","",COUNTA($B$4:$B353))</f>
        <v/>
      </c>
      <c r="B353" s="72" t="n"/>
      <c r="C353" s="18">
        <f>IF($B353="","",N($J352))</f>
        <v/>
      </c>
      <c r="D353" s="40" t="n"/>
      <c r="E353" s="18">
        <f>IF($B353="","",N($C353)+N($D353))</f>
        <v/>
      </c>
      <c r="F353" s="18">
        <f>IF($B353="","",SUMIFS('العهد والرحلات'!$J$4:$J$2003,'العهد والرحلات'!$B$4:$B$2003,$B353))</f>
        <v/>
      </c>
      <c r="G353" s="18">
        <f>IF($B353="","",SUMIFS('الإيصالات'!$C$4:$C$2003,'الإيصالات'!$B$4:$B$2003,$B353))</f>
        <v/>
      </c>
      <c r="H353" s="40" t="n"/>
      <c r="I353" s="18">
        <f>IF($B353="","",N($F353)+N($G353)+N($H353))</f>
        <v/>
      </c>
      <c r="J353" s="18">
        <f>IF($B353="","",N($E353)-N($I353))</f>
        <v/>
      </c>
    </row>
    <row r="354">
      <c r="A354" s="16">
        <f>IF($B354="","",COUNTA($B$4:$B354))</f>
        <v/>
      </c>
      <c r="B354" s="71" t="n"/>
      <c r="C354" s="18">
        <f>IF($B354="","",N($J353))</f>
        <v/>
      </c>
      <c r="D354" s="38" t="n"/>
      <c r="E354" s="18">
        <f>IF($B354="","",N($C354)+N($D354))</f>
        <v/>
      </c>
      <c r="F354" s="18">
        <f>IF($B354="","",SUMIFS('العهد والرحلات'!$J$4:$J$2003,'العهد والرحلات'!$B$4:$B$2003,$B354))</f>
        <v/>
      </c>
      <c r="G354" s="18">
        <f>IF($B354="","",SUMIFS('الإيصالات'!$C$4:$C$2003,'الإيصالات'!$B$4:$B$2003,$B354))</f>
        <v/>
      </c>
      <c r="H354" s="38" t="n"/>
      <c r="I354" s="18">
        <f>IF($B354="","",N($F354)+N($G354)+N($H354))</f>
        <v/>
      </c>
      <c r="J354" s="18">
        <f>IF($B354="","",N($E354)-N($I354))</f>
        <v/>
      </c>
    </row>
    <row r="355">
      <c r="A355" s="16">
        <f>IF($B355="","",COUNTA($B$4:$B355))</f>
        <v/>
      </c>
      <c r="B355" s="72" t="n"/>
      <c r="C355" s="18">
        <f>IF($B355="","",N($J354))</f>
        <v/>
      </c>
      <c r="D355" s="40" t="n"/>
      <c r="E355" s="18">
        <f>IF($B355="","",N($C355)+N($D355))</f>
        <v/>
      </c>
      <c r="F355" s="18">
        <f>IF($B355="","",SUMIFS('العهد والرحلات'!$J$4:$J$2003,'العهد والرحلات'!$B$4:$B$2003,$B355))</f>
        <v/>
      </c>
      <c r="G355" s="18">
        <f>IF($B355="","",SUMIFS('الإيصالات'!$C$4:$C$2003,'الإيصالات'!$B$4:$B$2003,$B355))</f>
        <v/>
      </c>
      <c r="H355" s="40" t="n"/>
      <c r="I355" s="18">
        <f>IF($B355="","",N($F355)+N($G355)+N($H355))</f>
        <v/>
      </c>
      <c r="J355" s="18">
        <f>IF($B355="","",N($E355)-N($I355))</f>
        <v/>
      </c>
    </row>
    <row r="356">
      <c r="A356" s="16">
        <f>IF($B356="","",COUNTA($B$4:$B356))</f>
        <v/>
      </c>
      <c r="B356" s="71" t="n"/>
      <c r="C356" s="18">
        <f>IF($B356="","",N($J355))</f>
        <v/>
      </c>
      <c r="D356" s="38" t="n"/>
      <c r="E356" s="18">
        <f>IF($B356="","",N($C356)+N($D356))</f>
        <v/>
      </c>
      <c r="F356" s="18">
        <f>IF($B356="","",SUMIFS('العهد والرحلات'!$J$4:$J$2003,'العهد والرحلات'!$B$4:$B$2003,$B356))</f>
        <v/>
      </c>
      <c r="G356" s="18">
        <f>IF($B356="","",SUMIFS('الإيصالات'!$C$4:$C$2003,'الإيصالات'!$B$4:$B$2003,$B356))</f>
        <v/>
      </c>
      <c r="H356" s="38" t="n"/>
      <c r="I356" s="18">
        <f>IF($B356="","",N($F356)+N($G356)+N($H356))</f>
        <v/>
      </c>
      <c r="J356" s="18">
        <f>IF($B356="","",N($E356)-N($I356))</f>
        <v/>
      </c>
    </row>
    <row r="357">
      <c r="A357" s="16">
        <f>IF($B357="","",COUNTA($B$4:$B357))</f>
        <v/>
      </c>
      <c r="B357" s="72" t="n"/>
      <c r="C357" s="18">
        <f>IF($B357="","",N($J356))</f>
        <v/>
      </c>
      <c r="D357" s="40" t="n"/>
      <c r="E357" s="18">
        <f>IF($B357="","",N($C357)+N($D357))</f>
        <v/>
      </c>
      <c r="F357" s="18">
        <f>IF($B357="","",SUMIFS('العهد والرحلات'!$J$4:$J$2003,'العهد والرحلات'!$B$4:$B$2003,$B357))</f>
        <v/>
      </c>
      <c r="G357" s="18">
        <f>IF($B357="","",SUMIFS('الإيصالات'!$C$4:$C$2003,'الإيصالات'!$B$4:$B$2003,$B357))</f>
        <v/>
      </c>
      <c r="H357" s="40" t="n"/>
      <c r="I357" s="18">
        <f>IF($B357="","",N($F357)+N($G357)+N($H357))</f>
        <v/>
      </c>
      <c r="J357" s="18">
        <f>IF($B357="","",N($E357)-N($I357))</f>
        <v/>
      </c>
    </row>
    <row r="358">
      <c r="A358" s="16">
        <f>IF($B358="","",COUNTA($B$4:$B358))</f>
        <v/>
      </c>
      <c r="B358" s="71" t="n"/>
      <c r="C358" s="18">
        <f>IF($B358="","",N($J357))</f>
        <v/>
      </c>
      <c r="D358" s="38" t="n"/>
      <c r="E358" s="18">
        <f>IF($B358="","",N($C358)+N($D358))</f>
        <v/>
      </c>
      <c r="F358" s="18">
        <f>IF($B358="","",SUMIFS('العهد والرحلات'!$J$4:$J$2003,'العهد والرحلات'!$B$4:$B$2003,$B358))</f>
        <v/>
      </c>
      <c r="G358" s="18">
        <f>IF($B358="","",SUMIFS('الإيصالات'!$C$4:$C$2003,'الإيصالات'!$B$4:$B$2003,$B358))</f>
        <v/>
      </c>
      <c r="H358" s="38" t="n"/>
      <c r="I358" s="18">
        <f>IF($B358="","",N($F358)+N($G358)+N($H358))</f>
        <v/>
      </c>
      <c r="J358" s="18">
        <f>IF($B358="","",N($E358)-N($I358))</f>
        <v/>
      </c>
    </row>
    <row r="359">
      <c r="A359" s="16">
        <f>IF($B359="","",COUNTA($B$4:$B359))</f>
        <v/>
      </c>
      <c r="B359" s="72" t="n"/>
      <c r="C359" s="18">
        <f>IF($B359="","",N($J358))</f>
        <v/>
      </c>
      <c r="D359" s="40" t="n"/>
      <c r="E359" s="18">
        <f>IF($B359="","",N($C359)+N($D359))</f>
        <v/>
      </c>
      <c r="F359" s="18">
        <f>IF($B359="","",SUMIFS('العهد والرحلات'!$J$4:$J$2003,'العهد والرحلات'!$B$4:$B$2003,$B359))</f>
        <v/>
      </c>
      <c r="G359" s="18">
        <f>IF($B359="","",SUMIFS('الإيصالات'!$C$4:$C$2003,'الإيصالات'!$B$4:$B$2003,$B359))</f>
        <v/>
      </c>
      <c r="H359" s="40" t="n"/>
      <c r="I359" s="18">
        <f>IF($B359="","",N($F359)+N($G359)+N($H359))</f>
        <v/>
      </c>
      <c r="J359" s="18">
        <f>IF($B359="","",N($E359)-N($I359))</f>
        <v/>
      </c>
    </row>
    <row r="360">
      <c r="A360" s="16">
        <f>IF($B360="","",COUNTA($B$4:$B360))</f>
        <v/>
      </c>
      <c r="B360" s="71" t="n"/>
      <c r="C360" s="18">
        <f>IF($B360="","",N($J359))</f>
        <v/>
      </c>
      <c r="D360" s="38" t="n"/>
      <c r="E360" s="18">
        <f>IF($B360="","",N($C360)+N($D360))</f>
        <v/>
      </c>
      <c r="F360" s="18">
        <f>IF($B360="","",SUMIFS('العهد والرحلات'!$J$4:$J$2003,'العهد والرحلات'!$B$4:$B$2003,$B360))</f>
        <v/>
      </c>
      <c r="G360" s="18">
        <f>IF($B360="","",SUMIFS('الإيصالات'!$C$4:$C$2003,'الإيصالات'!$B$4:$B$2003,$B360))</f>
        <v/>
      </c>
      <c r="H360" s="38" t="n"/>
      <c r="I360" s="18">
        <f>IF($B360="","",N($F360)+N($G360)+N($H360))</f>
        <v/>
      </c>
      <c r="J360" s="18">
        <f>IF($B360="","",N($E360)-N($I360))</f>
        <v/>
      </c>
    </row>
    <row r="361">
      <c r="A361" s="16">
        <f>IF($B361="","",COUNTA($B$4:$B361))</f>
        <v/>
      </c>
      <c r="B361" s="72" t="n"/>
      <c r="C361" s="18">
        <f>IF($B361="","",N($J360))</f>
        <v/>
      </c>
      <c r="D361" s="40" t="n"/>
      <c r="E361" s="18">
        <f>IF($B361="","",N($C361)+N($D361))</f>
        <v/>
      </c>
      <c r="F361" s="18">
        <f>IF($B361="","",SUMIFS('العهد والرحلات'!$J$4:$J$2003,'العهد والرحلات'!$B$4:$B$2003,$B361))</f>
        <v/>
      </c>
      <c r="G361" s="18">
        <f>IF($B361="","",SUMIFS('الإيصالات'!$C$4:$C$2003,'الإيصالات'!$B$4:$B$2003,$B361))</f>
        <v/>
      </c>
      <c r="H361" s="40" t="n"/>
      <c r="I361" s="18">
        <f>IF($B361="","",N($F361)+N($G361)+N($H361))</f>
        <v/>
      </c>
      <c r="J361" s="18">
        <f>IF($B361="","",N($E361)-N($I361))</f>
        <v/>
      </c>
    </row>
    <row r="362">
      <c r="A362" s="16">
        <f>IF($B362="","",COUNTA($B$4:$B362))</f>
        <v/>
      </c>
      <c r="B362" s="71" t="n"/>
      <c r="C362" s="18">
        <f>IF($B362="","",N($J361))</f>
        <v/>
      </c>
      <c r="D362" s="38" t="n"/>
      <c r="E362" s="18">
        <f>IF($B362="","",N($C362)+N($D362))</f>
        <v/>
      </c>
      <c r="F362" s="18">
        <f>IF($B362="","",SUMIFS('العهد والرحلات'!$J$4:$J$2003,'العهد والرحلات'!$B$4:$B$2003,$B362))</f>
        <v/>
      </c>
      <c r="G362" s="18">
        <f>IF($B362="","",SUMIFS('الإيصالات'!$C$4:$C$2003,'الإيصالات'!$B$4:$B$2003,$B362))</f>
        <v/>
      </c>
      <c r="H362" s="38" t="n"/>
      <c r="I362" s="18">
        <f>IF($B362="","",N($F362)+N($G362)+N($H362))</f>
        <v/>
      </c>
      <c r="J362" s="18">
        <f>IF($B362="","",N($E362)-N($I362))</f>
        <v/>
      </c>
    </row>
    <row r="363">
      <c r="A363" s="16">
        <f>IF($B363="","",COUNTA($B$4:$B363))</f>
        <v/>
      </c>
      <c r="B363" s="72" t="n"/>
      <c r="C363" s="18">
        <f>IF($B363="","",N($J362))</f>
        <v/>
      </c>
      <c r="D363" s="40" t="n"/>
      <c r="E363" s="18">
        <f>IF($B363="","",N($C363)+N($D363))</f>
        <v/>
      </c>
      <c r="F363" s="18">
        <f>IF($B363="","",SUMIFS('العهد والرحلات'!$J$4:$J$2003,'العهد والرحلات'!$B$4:$B$2003,$B363))</f>
        <v/>
      </c>
      <c r="G363" s="18">
        <f>IF($B363="","",SUMIFS('الإيصالات'!$C$4:$C$2003,'الإيصالات'!$B$4:$B$2003,$B363))</f>
        <v/>
      </c>
      <c r="H363" s="40" t="n"/>
      <c r="I363" s="18">
        <f>IF($B363="","",N($F363)+N($G363)+N($H363))</f>
        <v/>
      </c>
      <c r="J363" s="18">
        <f>IF($B363="","",N($E363)-N($I363))</f>
        <v/>
      </c>
    </row>
    <row r="364">
      <c r="A364" s="16">
        <f>IF($B364="","",COUNTA($B$4:$B364))</f>
        <v/>
      </c>
      <c r="B364" s="71" t="n"/>
      <c r="C364" s="18">
        <f>IF($B364="","",N($J363))</f>
        <v/>
      </c>
      <c r="D364" s="38" t="n"/>
      <c r="E364" s="18">
        <f>IF($B364="","",N($C364)+N($D364))</f>
        <v/>
      </c>
      <c r="F364" s="18">
        <f>IF($B364="","",SUMIFS('العهد والرحلات'!$J$4:$J$2003,'العهد والرحلات'!$B$4:$B$2003,$B364))</f>
        <v/>
      </c>
      <c r="G364" s="18">
        <f>IF($B364="","",SUMIFS('الإيصالات'!$C$4:$C$2003,'الإيصالات'!$B$4:$B$2003,$B364))</f>
        <v/>
      </c>
      <c r="H364" s="38" t="n"/>
      <c r="I364" s="18">
        <f>IF($B364="","",N($F364)+N($G364)+N($H364))</f>
        <v/>
      </c>
      <c r="J364" s="18">
        <f>IF($B364="","",N($E364)-N($I364))</f>
        <v/>
      </c>
    </row>
    <row r="365">
      <c r="A365" s="16">
        <f>IF($B365="","",COUNTA($B$4:$B365))</f>
        <v/>
      </c>
      <c r="B365" s="72" t="n"/>
      <c r="C365" s="18">
        <f>IF($B365="","",N($J364))</f>
        <v/>
      </c>
      <c r="D365" s="40" t="n"/>
      <c r="E365" s="18">
        <f>IF($B365="","",N($C365)+N($D365))</f>
        <v/>
      </c>
      <c r="F365" s="18">
        <f>IF($B365="","",SUMIFS('العهد والرحلات'!$J$4:$J$2003,'العهد والرحلات'!$B$4:$B$2003,$B365))</f>
        <v/>
      </c>
      <c r="G365" s="18">
        <f>IF($B365="","",SUMIFS('الإيصالات'!$C$4:$C$2003,'الإيصالات'!$B$4:$B$2003,$B365))</f>
        <v/>
      </c>
      <c r="H365" s="40" t="n"/>
      <c r="I365" s="18">
        <f>IF($B365="","",N($F365)+N($G365)+N($H365))</f>
        <v/>
      </c>
      <c r="J365" s="18">
        <f>IF($B365="","",N($E365)-N($I365))</f>
        <v/>
      </c>
    </row>
    <row r="366">
      <c r="A366" s="16">
        <f>IF($B366="","",COUNTA($B$4:$B366))</f>
        <v/>
      </c>
      <c r="B366" s="71" t="n"/>
      <c r="C366" s="18">
        <f>IF($B366="","",N($J365))</f>
        <v/>
      </c>
      <c r="D366" s="38" t="n"/>
      <c r="E366" s="18">
        <f>IF($B366="","",N($C366)+N($D366))</f>
        <v/>
      </c>
      <c r="F366" s="18">
        <f>IF($B366="","",SUMIFS('العهد والرحلات'!$J$4:$J$2003,'العهد والرحلات'!$B$4:$B$2003,$B366))</f>
        <v/>
      </c>
      <c r="G366" s="18">
        <f>IF($B366="","",SUMIFS('الإيصالات'!$C$4:$C$2003,'الإيصالات'!$B$4:$B$2003,$B366))</f>
        <v/>
      </c>
      <c r="H366" s="38" t="n"/>
      <c r="I366" s="18">
        <f>IF($B366="","",N($F366)+N($G366)+N($H366))</f>
        <v/>
      </c>
      <c r="J366" s="18">
        <f>IF($B366="","",N($E366)-N($I366))</f>
        <v/>
      </c>
    </row>
    <row r="367">
      <c r="A367" s="16">
        <f>IF($B367="","",COUNTA($B$4:$B367))</f>
        <v/>
      </c>
      <c r="B367" s="72" t="n"/>
      <c r="C367" s="18">
        <f>IF($B367="","",N($J366))</f>
        <v/>
      </c>
      <c r="D367" s="40" t="n"/>
      <c r="E367" s="18">
        <f>IF($B367="","",N($C367)+N($D367))</f>
        <v/>
      </c>
      <c r="F367" s="18">
        <f>IF($B367="","",SUMIFS('العهد والرحلات'!$J$4:$J$2003,'العهد والرحلات'!$B$4:$B$2003,$B367))</f>
        <v/>
      </c>
      <c r="G367" s="18">
        <f>IF($B367="","",SUMIFS('الإيصالات'!$C$4:$C$2003,'الإيصالات'!$B$4:$B$2003,$B367))</f>
        <v/>
      </c>
      <c r="H367" s="40" t="n"/>
      <c r="I367" s="18">
        <f>IF($B367="","",N($F367)+N($G367)+N($H367))</f>
        <v/>
      </c>
      <c r="J367" s="18">
        <f>IF($B367="","",N($E367)-N($I367))</f>
        <v/>
      </c>
    </row>
    <row r="368">
      <c r="A368" s="16">
        <f>IF($B368="","",COUNTA($B$4:$B368))</f>
        <v/>
      </c>
      <c r="B368" s="71" t="n"/>
      <c r="C368" s="18">
        <f>IF($B368="","",N($J367))</f>
        <v/>
      </c>
      <c r="D368" s="38" t="n"/>
      <c r="E368" s="18">
        <f>IF($B368="","",N($C368)+N($D368))</f>
        <v/>
      </c>
      <c r="F368" s="18">
        <f>IF($B368="","",SUMIFS('العهد والرحلات'!$J$4:$J$2003,'العهد والرحلات'!$B$4:$B$2003,$B368))</f>
        <v/>
      </c>
      <c r="G368" s="18">
        <f>IF($B368="","",SUMIFS('الإيصالات'!$C$4:$C$2003,'الإيصالات'!$B$4:$B$2003,$B368))</f>
        <v/>
      </c>
      <c r="H368" s="38" t="n"/>
      <c r="I368" s="18">
        <f>IF($B368="","",N($F368)+N($G368)+N($H368))</f>
        <v/>
      </c>
      <c r="J368" s="18">
        <f>IF($B368="","",N($E368)-N($I368))</f>
        <v/>
      </c>
    </row>
    <row r="369">
      <c r="A369" s="16">
        <f>IF($B369="","",COUNTA($B$4:$B369))</f>
        <v/>
      </c>
      <c r="B369" s="72" t="n"/>
      <c r="C369" s="18">
        <f>IF($B369="","",N($J368))</f>
        <v/>
      </c>
      <c r="D369" s="40" t="n"/>
      <c r="E369" s="18">
        <f>IF($B369="","",N($C369)+N($D369))</f>
        <v/>
      </c>
      <c r="F369" s="18">
        <f>IF($B369="","",SUMIFS('العهد والرحلات'!$J$4:$J$2003,'العهد والرحلات'!$B$4:$B$2003,$B369))</f>
        <v/>
      </c>
      <c r="G369" s="18">
        <f>IF($B369="","",SUMIFS('الإيصالات'!$C$4:$C$2003,'الإيصالات'!$B$4:$B$2003,$B369))</f>
        <v/>
      </c>
      <c r="H369" s="40" t="n"/>
      <c r="I369" s="18">
        <f>IF($B369="","",N($F369)+N($G369)+N($H369))</f>
        <v/>
      </c>
      <c r="J369" s="18">
        <f>IF($B369="","",N($E369)-N($I369))</f>
        <v/>
      </c>
    </row>
    <row r="370">
      <c r="A370" s="16">
        <f>IF($B370="","",COUNTA($B$4:$B370))</f>
        <v/>
      </c>
      <c r="B370" s="71" t="n"/>
      <c r="C370" s="18">
        <f>IF($B370="","",N($J369))</f>
        <v/>
      </c>
      <c r="D370" s="38" t="n"/>
      <c r="E370" s="18">
        <f>IF($B370="","",N($C370)+N($D370))</f>
        <v/>
      </c>
      <c r="F370" s="18">
        <f>IF($B370="","",SUMIFS('العهد والرحلات'!$J$4:$J$2003,'العهد والرحلات'!$B$4:$B$2003,$B370))</f>
        <v/>
      </c>
      <c r="G370" s="18">
        <f>IF($B370="","",SUMIFS('الإيصالات'!$C$4:$C$2003,'الإيصالات'!$B$4:$B$2003,$B370))</f>
        <v/>
      </c>
      <c r="H370" s="38" t="n"/>
      <c r="I370" s="18">
        <f>IF($B370="","",N($F370)+N($G370)+N($H370))</f>
        <v/>
      </c>
      <c r="J370" s="18">
        <f>IF($B370="","",N($E370)-N($I370))</f>
        <v/>
      </c>
    </row>
    <row r="371">
      <c r="A371" s="16">
        <f>IF($B371="","",COUNTA($B$4:$B371))</f>
        <v/>
      </c>
      <c r="B371" s="72" t="n"/>
      <c r="C371" s="18">
        <f>IF($B371="","",N($J370))</f>
        <v/>
      </c>
      <c r="D371" s="40" t="n"/>
      <c r="E371" s="18">
        <f>IF($B371="","",N($C371)+N($D371))</f>
        <v/>
      </c>
      <c r="F371" s="18">
        <f>IF($B371="","",SUMIFS('العهد والرحلات'!$J$4:$J$2003,'العهد والرحلات'!$B$4:$B$2003,$B371))</f>
        <v/>
      </c>
      <c r="G371" s="18">
        <f>IF($B371="","",SUMIFS('الإيصالات'!$C$4:$C$2003,'الإيصالات'!$B$4:$B$2003,$B371))</f>
        <v/>
      </c>
      <c r="H371" s="40" t="n"/>
      <c r="I371" s="18">
        <f>IF($B371="","",N($F371)+N($G371)+N($H371))</f>
        <v/>
      </c>
      <c r="J371" s="18">
        <f>IF($B371="","",N($E371)-N($I371))</f>
        <v/>
      </c>
    </row>
    <row r="372">
      <c r="A372" s="16">
        <f>IF($B372="","",COUNTA($B$4:$B372))</f>
        <v/>
      </c>
      <c r="B372" s="71" t="n"/>
      <c r="C372" s="18">
        <f>IF($B372="","",N($J371))</f>
        <v/>
      </c>
      <c r="D372" s="38" t="n"/>
      <c r="E372" s="18">
        <f>IF($B372="","",N($C372)+N($D372))</f>
        <v/>
      </c>
      <c r="F372" s="18">
        <f>IF($B372="","",SUMIFS('العهد والرحلات'!$J$4:$J$2003,'العهد والرحلات'!$B$4:$B$2003,$B372))</f>
        <v/>
      </c>
      <c r="G372" s="18">
        <f>IF($B372="","",SUMIFS('الإيصالات'!$C$4:$C$2003,'الإيصالات'!$B$4:$B$2003,$B372))</f>
        <v/>
      </c>
      <c r="H372" s="38" t="n"/>
      <c r="I372" s="18">
        <f>IF($B372="","",N($F372)+N($G372)+N($H372))</f>
        <v/>
      </c>
      <c r="J372" s="18">
        <f>IF($B372="","",N($E372)-N($I372))</f>
        <v/>
      </c>
    </row>
    <row r="373">
      <c r="A373" s="16">
        <f>IF($B373="","",COUNTA($B$4:$B373))</f>
        <v/>
      </c>
      <c r="B373" s="72" t="n"/>
      <c r="C373" s="18">
        <f>IF($B373="","",N($J372))</f>
        <v/>
      </c>
      <c r="D373" s="40" t="n"/>
      <c r="E373" s="18">
        <f>IF($B373="","",N($C373)+N($D373))</f>
        <v/>
      </c>
      <c r="F373" s="18">
        <f>IF($B373="","",SUMIFS('العهد والرحلات'!$J$4:$J$2003,'العهد والرحلات'!$B$4:$B$2003,$B373))</f>
        <v/>
      </c>
      <c r="G373" s="18">
        <f>IF($B373="","",SUMIFS('الإيصالات'!$C$4:$C$2003,'الإيصالات'!$B$4:$B$2003,$B373))</f>
        <v/>
      </c>
      <c r="H373" s="40" t="n"/>
      <c r="I373" s="18">
        <f>IF($B373="","",N($F373)+N($G373)+N($H373))</f>
        <v/>
      </c>
      <c r="J373" s="18">
        <f>IF($B373="","",N($E373)-N($I373))</f>
        <v/>
      </c>
    </row>
    <row r="374">
      <c r="A374" s="16">
        <f>IF($B374="","",COUNTA($B$4:$B374))</f>
        <v/>
      </c>
      <c r="B374" s="71" t="n"/>
      <c r="C374" s="18">
        <f>IF($B374="","",N($J373))</f>
        <v/>
      </c>
      <c r="D374" s="38" t="n"/>
      <c r="E374" s="18">
        <f>IF($B374="","",N($C374)+N($D374))</f>
        <v/>
      </c>
      <c r="F374" s="18">
        <f>IF($B374="","",SUMIFS('العهد والرحلات'!$J$4:$J$2003,'العهد والرحلات'!$B$4:$B$2003,$B374))</f>
        <v/>
      </c>
      <c r="G374" s="18">
        <f>IF($B374="","",SUMIFS('الإيصالات'!$C$4:$C$2003,'الإيصالات'!$B$4:$B$2003,$B374))</f>
        <v/>
      </c>
      <c r="H374" s="38" t="n"/>
      <c r="I374" s="18">
        <f>IF($B374="","",N($F374)+N($G374)+N($H374))</f>
        <v/>
      </c>
      <c r="J374" s="18">
        <f>IF($B374="","",N($E374)-N($I374))</f>
        <v/>
      </c>
    </row>
    <row r="375">
      <c r="A375" s="16">
        <f>IF($B375="","",COUNTA($B$4:$B375))</f>
        <v/>
      </c>
      <c r="B375" s="72" t="n"/>
      <c r="C375" s="18">
        <f>IF($B375="","",N($J374))</f>
        <v/>
      </c>
      <c r="D375" s="40" t="n"/>
      <c r="E375" s="18">
        <f>IF($B375="","",N($C375)+N($D375))</f>
        <v/>
      </c>
      <c r="F375" s="18">
        <f>IF($B375="","",SUMIFS('العهد والرحلات'!$J$4:$J$2003,'العهد والرحلات'!$B$4:$B$2003,$B375))</f>
        <v/>
      </c>
      <c r="G375" s="18">
        <f>IF($B375="","",SUMIFS('الإيصالات'!$C$4:$C$2003,'الإيصالات'!$B$4:$B$2003,$B375))</f>
        <v/>
      </c>
      <c r="H375" s="40" t="n"/>
      <c r="I375" s="18">
        <f>IF($B375="","",N($F375)+N($G375)+N($H375))</f>
        <v/>
      </c>
      <c r="J375" s="18">
        <f>IF($B375="","",N($E375)-N($I375))</f>
        <v/>
      </c>
    </row>
    <row r="376">
      <c r="A376" s="16">
        <f>IF($B376="","",COUNTA($B$4:$B376))</f>
        <v/>
      </c>
      <c r="B376" s="71" t="n"/>
      <c r="C376" s="18">
        <f>IF($B376="","",N($J375))</f>
        <v/>
      </c>
      <c r="D376" s="38" t="n"/>
      <c r="E376" s="18">
        <f>IF($B376="","",N($C376)+N($D376))</f>
        <v/>
      </c>
      <c r="F376" s="18">
        <f>IF($B376="","",SUMIFS('العهد والرحلات'!$J$4:$J$2003,'العهد والرحلات'!$B$4:$B$2003,$B376))</f>
        <v/>
      </c>
      <c r="G376" s="18">
        <f>IF($B376="","",SUMIFS('الإيصالات'!$C$4:$C$2003,'الإيصالات'!$B$4:$B$2003,$B376))</f>
        <v/>
      </c>
      <c r="H376" s="38" t="n"/>
      <c r="I376" s="18">
        <f>IF($B376="","",N($F376)+N($G376)+N($H376))</f>
        <v/>
      </c>
      <c r="J376" s="18">
        <f>IF($B376="","",N($E376)-N($I376))</f>
        <v/>
      </c>
    </row>
    <row r="377">
      <c r="A377" s="16">
        <f>IF($B377="","",COUNTA($B$4:$B377))</f>
        <v/>
      </c>
      <c r="B377" s="72" t="n"/>
      <c r="C377" s="18">
        <f>IF($B377="","",N($J376))</f>
        <v/>
      </c>
      <c r="D377" s="40" t="n"/>
      <c r="E377" s="18">
        <f>IF($B377="","",N($C377)+N($D377))</f>
        <v/>
      </c>
      <c r="F377" s="18">
        <f>IF($B377="","",SUMIFS('العهد والرحلات'!$J$4:$J$2003,'العهد والرحلات'!$B$4:$B$2003,$B377))</f>
        <v/>
      </c>
      <c r="G377" s="18">
        <f>IF($B377="","",SUMIFS('الإيصالات'!$C$4:$C$2003,'الإيصالات'!$B$4:$B$2003,$B377))</f>
        <v/>
      </c>
      <c r="H377" s="40" t="n"/>
      <c r="I377" s="18">
        <f>IF($B377="","",N($F377)+N($G377)+N($H377))</f>
        <v/>
      </c>
      <c r="J377" s="18">
        <f>IF($B377="","",N($E377)-N($I377))</f>
        <v/>
      </c>
    </row>
    <row r="378">
      <c r="A378" s="16">
        <f>IF($B378="","",COUNTA($B$4:$B378))</f>
        <v/>
      </c>
      <c r="B378" s="71" t="n"/>
      <c r="C378" s="18">
        <f>IF($B378="","",N($J377))</f>
        <v/>
      </c>
      <c r="D378" s="38" t="n"/>
      <c r="E378" s="18">
        <f>IF($B378="","",N($C378)+N($D378))</f>
        <v/>
      </c>
      <c r="F378" s="18">
        <f>IF($B378="","",SUMIFS('العهد والرحلات'!$J$4:$J$2003,'العهد والرحلات'!$B$4:$B$2003,$B378))</f>
        <v/>
      </c>
      <c r="G378" s="18">
        <f>IF($B378="","",SUMIFS('الإيصالات'!$C$4:$C$2003,'الإيصالات'!$B$4:$B$2003,$B378))</f>
        <v/>
      </c>
      <c r="H378" s="38" t="n"/>
      <c r="I378" s="18">
        <f>IF($B378="","",N($F378)+N($G378)+N($H378))</f>
        <v/>
      </c>
      <c r="J378" s="18">
        <f>IF($B378="","",N($E378)-N($I378))</f>
        <v/>
      </c>
    </row>
    <row r="379">
      <c r="A379" s="16">
        <f>IF($B379="","",COUNTA($B$4:$B379))</f>
        <v/>
      </c>
      <c r="B379" s="72" t="n"/>
      <c r="C379" s="18">
        <f>IF($B379="","",N($J378))</f>
        <v/>
      </c>
      <c r="D379" s="40" t="n"/>
      <c r="E379" s="18">
        <f>IF($B379="","",N($C379)+N($D379))</f>
        <v/>
      </c>
      <c r="F379" s="18">
        <f>IF($B379="","",SUMIFS('العهد والرحلات'!$J$4:$J$2003,'العهد والرحلات'!$B$4:$B$2003,$B379))</f>
        <v/>
      </c>
      <c r="G379" s="18">
        <f>IF($B379="","",SUMIFS('الإيصالات'!$C$4:$C$2003,'الإيصالات'!$B$4:$B$2003,$B379))</f>
        <v/>
      </c>
      <c r="H379" s="40" t="n"/>
      <c r="I379" s="18">
        <f>IF($B379="","",N($F379)+N($G379)+N($H379))</f>
        <v/>
      </c>
      <c r="J379" s="18">
        <f>IF($B379="","",N($E379)-N($I379))</f>
        <v/>
      </c>
    </row>
    <row r="380">
      <c r="A380" s="16">
        <f>IF($B380="","",COUNTA($B$4:$B380))</f>
        <v/>
      </c>
      <c r="B380" s="71" t="n"/>
      <c r="C380" s="18">
        <f>IF($B380="","",N($J379))</f>
        <v/>
      </c>
      <c r="D380" s="38" t="n"/>
      <c r="E380" s="18">
        <f>IF($B380="","",N($C380)+N($D380))</f>
        <v/>
      </c>
      <c r="F380" s="18">
        <f>IF($B380="","",SUMIFS('العهد والرحلات'!$J$4:$J$2003,'العهد والرحلات'!$B$4:$B$2003,$B380))</f>
        <v/>
      </c>
      <c r="G380" s="18">
        <f>IF($B380="","",SUMIFS('الإيصالات'!$C$4:$C$2003,'الإيصالات'!$B$4:$B$2003,$B380))</f>
        <v/>
      </c>
      <c r="H380" s="38" t="n"/>
      <c r="I380" s="18">
        <f>IF($B380="","",N($F380)+N($G380)+N($H380))</f>
        <v/>
      </c>
      <c r="J380" s="18">
        <f>IF($B380="","",N($E380)-N($I380))</f>
        <v/>
      </c>
    </row>
    <row r="381">
      <c r="A381" s="16">
        <f>IF($B381="","",COUNTA($B$4:$B381))</f>
        <v/>
      </c>
      <c r="B381" s="72" t="n"/>
      <c r="C381" s="18">
        <f>IF($B381="","",N($J380))</f>
        <v/>
      </c>
      <c r="D381" s="40" t="n"/>
      <c r="E381" s="18">
        <f>IF($B381="","",N($C381)+N($D381))</f>
        <v/>
      </c>
      <c r="F381" s="18">
        <f>IF($B381="","",SUMIFS('العهد والرحلات'!$J$4:$J$2003,'العهد والرحلات'!$B$4:$B$2003,$B381))</f>
        <v/>
      </c>
      <c r="G381" s="18">
        <f>IF($B381="","",SUMIFS('الإيصالات'!$C$4:$C$2003,'الإيصالات'!$B$4:$B$2003,$B381))</f>
        <v/>
      </c>
      <c r="H381" s="40" t="n"/>
      <c r="I381" s="18">
        <f>IF($B381="","",N($F381)+N($G381)+N($H381))</f>
        <v/>
      </c>
      <c r="J381" s="18">
        <f>IF($B381="","",N($E381)-N($I381))</f>
        <v/>
      </c>
    </row>
    <row r="382">
      <c r="A382" s="16">
        <f>IF($B382="","",COUNTA($B$4:$B382))</f>
        <v/>
      </c>
      <c r="B382" s="71" t="n"/>
      <c r="C382" s="18">
        <f>IF($B382="","",N($J381))</f>
        <v/>
      </c>
      <c r="D382" s="38" t="n"/>
      <c r="E382" s="18">
        <f>IF($B382="","",N($C382)+N($D382))</f>
        <v/>
      </c>
      <c r="F382" s="18">
        <f>IF($B382="","",SUMIFS('العهد والرحلات'!$J$4:$J$2003,'العهد والرحلات'!$B$4:$B$2003,$B382))</f>
        <v/>
      </c>
      <c r="G382" s="18">
        <f>IF($B382="","",SUMIFS('الإيصالات'!$C$4:$C$2003,'الإيصالات'!$B$4:$B$2003,$B382))</f>
        <v/>
      </c>
      <c r="H382" s="38" t="n"/>
      <c r="I382" s="18">
        <f>IF($B382="","",N($F382)+N($G382)+N($H382))</f>
        <v/>
      </c>
      <c r="J382" s="18">
        <f>IF($B382="","",N($E382)-N($I382))</f>
        <v/>
      </c>
    </row>
    <row r="383">
      <c r="A383" s="16">
        <f>IF($B383="","",COUNTA($B$4:$B383))</f>
        <v/>
      </c>
      <c r="B383" s="72" t="n"/>
      <c r="C383" s="18">
        <f>IF($B383="","",N($J382))</f>
        <v/>
      </c>
      <c r="D383" s="40" t="n"/>
      <c r="E383" s="18">
        <f>IF($B383="","",N($C383)+N($D383))</f>
        <v/>
      </c>
      <c r="F383" s="18">
        <f>IF($B383="","",SUMIFS('العهد والرحلات'!$J$4:$J$2003,'العهد والرحلات'!$B$4:$B$2003,$B383))</f>
        <v/>
      </c>
      <c r="G383" s="18">
        <f>IF($B383="","",SUMIFS('الإيصالات'!$C$4:$C$2003,'الإيصالات'!$B$4:$B$2003,$B383))</f>
        <v/>
      </c>
      <c r="H383" s="40" t="n"/>
      <c r="I383" s="18">
        <f>IF($B383="","",N($F383)+N($G383)+N($H383))</f>
        <v/>
      </c>
      <c r="J383" s="18">
        <f>IF($B383="","",N($E383)-N($I383))</f>
        <v/>
      </c>
    </row>
    <row r="384">
      <c r="A384" s="16">
        <f>IF($B384="","",COUNTA($B$4:$B384))</f>
        <v/>
      </c>
      <c r="B384" s="71" t="n"/>
      <c r="C384" s="18">
        <f>IF($B384="","",N($J383))</f>
        <v/>
      </c>
      <c r="D384" s="38" t="n"/>
      <c r="E384" s="18">
        <f>IF($B384="","",N($C384)+N($D384))</f>
        <v/>
      </c>
      <c r="F384" s="18">
        <f>IF($B384="","",SUMIFS('العهد والرحلات'!$J$4:$J$2003,'العهد والرحلات'!$B$4:$B$2003,$B384))</f>
        <v/>
      </c>
      <c r="G384" s="18">
        <f>IF($B384="","",SUMIFS('الإيصالات'!$C$4:$C$2003,'الإيصالات'!$B$4:$B$2003,$B384))</f>
        <v/>
      </c>
      <c r="H384" s="38" t="n"/>
      <c r="I384" s="18">
        <f>IF($B384="","",N($F384)+N($G384)+N($H384))</f>
        <v/>
      </c>
      <c r="J384" s="18">
        <f>IF($B384="","",N($E384)-N($I384))</f>
        <v/>
      </c>
    </row>
    <row r="385">
      <c r="A385" s="16">
        <f>IF($B385="","",COUNTA($B$4:$B385))</f>
        <v/>
      </c>
      <c r="B385" s="72" t="n"/>
      <c r="C385" s="18">
        <f>IF($B385="","",N($J384))</f>
        <v/>
      </c>
      <c r="D385" s="40" t="n"/>
      <c r="E385" s="18">
        <f>IF($B385="","",N($C385)+N($D385))</f>
        <v/>
      </c>
      <c r="F385" s="18">
        <f>IF($B385="","",SUMIFS('العهد والرحلات'!$J$4:$J$2003,'العهد والرحلات'!$B$4:$B$2003,$B385))</f>
        <v/>
      </c>
      <c r="G385" s="18">
        <f>IF($B385="","",SUMIFS('الإيصالات'!$C$4:$C$2003,'الإيصالات'!$B$4:$B$2003,$B385))</f>
        <v/>
      </c>
      <c r="H385" s="40" t="n"/>
      <c r="I385" s="18">
        <f>IF($B385="","",N($F385)+N($G385)+N($H385))</f>
        <v/>
      </c>
      <c r="J385" s="18">
        <f>IF($B385="","",N($E385)-N($I385))</f>
        <v/>
      </c>
    </row>
    <row r="386">
      <c r="A386" s="16">
        <f>IF($B386="","",COUNTA($B$4:$B386))</f>
        <v/>
      </c>
      <c r="B386" s="71" t="n"/>
      <c r="C386" s="18">
        <f>IF($B386="","",N($J385))</f>
        <v/>
      </c>
      <c r="D386" s="38" t="n"/>
      <c r="E386" s="18">
        <f>IF($B386="","",N($C386)+N($D386))</f>
        <v/>
      </c>
      <c r="F386" s="18">
        <f>IF($B386="","",SUMIFS('العهد والرحلات'!$J$4:$J$2003,'العهد والرحلات'!$B$4:$B$2003,$B386))</f>
        <v/>
      </c>
      <c r="G386" s="18">
        <f>IF($B386="","",SUMIFS('الإيصالات'!$C$4:$C$2003,'الإيصالات'!$B$4:$B$2003,$B386))</f>
        <v/>
      </c>
      <c r="H386" s="38" t="n"/>
      <c r="I386" s="18">
        <f>IF($B386="","",N($F386)+N($G386)+N($H386))</f>
        <v/>
      </c>
      <c r="J386" s="18">
        <f>IF($B386="","",N($E386)-N($I386))</f>
        <v/>
      </c>
    </row>
    <row r="387">
      <c r="A387" s="16">
        <f>IF($B387="","",COUNTA($B$4:$B387))</f>
        <v/>
      </c>
      <c r="B387" s="72" t="n"/>
      <c r="C387" s="18">
        <f>IF($B387="","",N($J386))</f>
        <v/>
      </c>
      <c r="D387" s="40" t="n"/>
      <c r="E387" s="18">
        <f>IF($B387="","",N($C387)+N($D387))</f>
        <v/>
      </c>
      <c r="F387" s="18">
        <f>IF($B387="","",SUMIFS('العهد والرحلات'!$J$4:$J$2003,'العهد والرحلات'!$B$4:$B$2003,$B387))</f>
        <v/>
      </c>
      <c r="G387" s="18">
        <f>IF($B387="","",SUMIFS('الإيصالات'!$C$4:$C$2003,'الإيصالات'!$B$4:$B$2003,$B387))</f>
        <v/>
      </c>
      <c r="H387" s="40" t="n"/>
      <c r="I387" s="18">
        <f>IF($B387="","",N($F387)+N($G387)+N($H387))</f>
        <v/>
      </c>
      <c r="J387" s="18">
        <f>IF($B387="","",N($E387)-N($I387))</f>
        <v/>
      </c>
    </row>
    <row r="388">
      <c r="A388" s="16">
        <f>IF($B388="","",COUNTA($B$4:$B388))</f>
        <v/>
      </c>
      <c r="B388" s="71" t="n"/>
      <c r="C388" s="18">
        <f>IF($B388="","",N($J387))</f>
        <v/>
      </c>
      <c r="D388" s="38" t="n"/>
      <c r="E388" s="18">
        <f>IF($B388="","",N($C388)+N($D388))</f>
        <v/>
      </c>
      <c r="F388" s="18">
        <f>IF($B388="","",SUMIFS('العهد والرحلات'!$J$4:$J$2003,'العهد والرحلات'!$B$4:$B$2003,$B388))</f>
        <v/>
      </c>
      <c r="G388" s="18">
        <f>IF($B388="","",SUMIFS('الإيصالات'!$C$4:$C$2003,'الإيصالات'!$B$4:$B$2003,$B388))</f>
        <v/>
      </c>
      <c r="H388" s="38" t="n"/>
      <c r="I388" s="18">
        <f>IF($B388="","",N($F388)+N($G388)+N($H388))</f>
        <v/>
      </c>
      <c r="J388" s="18">
        <f>IF($B388="","",N($E388)-N($I388))</f>
        <v/>
      </c>
    </row>
    <row r="389">
      <c r="A389" s="16">
        <f>IF($B389="","",COUNTA($B$4:$B389))</f>
        <v/>
      </c>
      <c r="B389" s="72" t="n"/>
      <c r="C389" s="18">
        <f>IF($B389="","",N($J388))</f>
        <v/>
      </c>
      <c r="D389" s="40" t="n"/>
      <c r="E389" s="18">
        <f>IF($B389="","",N($C389)+N($D389))</f>
        <v/>
      </c>
      <c r="F389" s="18">
        <f>IF($B389="","",SUMIFS('العهد والرحلات'!$J$4:$J$2003,'العهد والرحلات'!$B$4:$B$2003,$B389))</f>
        <v/>
      </c>
      <c r="G389" s="18">
        <f>IF($B389="","",SUMIFS('الإيصالات'!$C$4:$C$2003,'الإيصالات'!$B$4:$B$2003,$B389))</f>
        <v/>
      </c>
      <c r="H389" s="40" t="n"/>
      <c r="I389" s="18">
        <f>IF($B389="","",N($F389)+N($G389)+N($H389))</f>
        <v/>
      </c>
      <c r="J389" s="18">
        <f>IF($B389="","",N($E389)-N($I389))</f>
        <v/>
      </c>
    </row>
    <row r="390">
      <c r="A390" s="16">
        <f>IF($B390="","",COUNTA($B$4:$B390))</f>
        <v/>
      </c>
      <c r="B390" s="71" t="n"/>
      <c r="C390" s="18">
        <f>IF($B390="","",N($J389))</f>
        <v/>
      </c>
      <c r="D390" s="38" t="n"/>
      <c r="E390" s="18">
        <f>IF($B390="","",N($C390)+N($D390))</f>
        <v/>
      </c>
      <c r="F390" s="18">
        <f>IF($B390="","",SUMIFS('العهد والرحلات'!$J$4:$J$2003,'العهد والرحلات'!$B$4:$B$2003,$B390))</f>
        <v/>
      </c>
      <c r="G390" s="18">
        <f>IF($B390="","",SUMIFS('الإيصالات'!$C$4:$C$2003,'الإيصالات'!$B$4:$B$2003,$B390))</f>
        <v/>
      </c>
      <c r="H390" s="38" t="n"/>
      <c r="I390" s="18">
        <f>IF($B390="","",N($F390)+N($G390)+N($H390))</f>
        <v/>
      </c>
      <c r="J390" s="18">
        <f>IF($B390="","",N($E390)-N($I390))</f>
        <v/>
      </c>
    </row>
    <row r="391">
      <c r="A391" s="16">
        <f>IF($B391="","",COUNTA($B$4:$B391))</f>
        <v/>
      </c>
      <c r="B391" s="72" t="n"/>
      <c r="C391" s="18">
        <f>IF($B391="","",N($J390))</f>
        <v/>
      </c>
      <c r="D391" s="40" t="n"/>
      <c r="E391" s="18">
        <f>IF($B391="","",N($C391)+N($D391))</f>
        <v/>
      </c>
      <c r="F391" s="18">
        <f>IF($B391="","",SUMIFS('العهد والرحلات'!$J$4:$J$2003,'العهد والرحلات'!$B$4:$B$2003,$B391))</f>
        <v/>
      </c>
      <c r="G391" s="18">
        <f>IF($B391="","",SUMIFS('الإيصالات'!$C$4:$C$2003,'الإيصالات'!$B$4:$B$2003,$B391))</f>
        <v/>
      </c>
      <c r="H391" s="40" t="n"/>
      <c r="I391" s="18">
        <f>IF($B391="","",N($F391)+N($G391)+N($H391))</f>
        <v/>
      </c>
      <c r="J391" s="18">
        <f>IF($B391="","",N($E391)-N($I391))</f>
        <v/>
      </c>
    </row>
    <row r="392">
      <c r="A392" s="16">
        <f>IF($B392="","",COUNTA($B$4:$B392))</f>
        <v/>
      </c>
      <c r="B392" s="71" t="n"/>
      <c r="C392" s="18">
        <f>IF($B392="","",N($J391))</f>
        <v/>
      </c>
      <c r="D392" s="38" t="n"/>
      <c r="E392" s="18">
        <f>IF($B392="","",N($C392)+N($D392))</f>
        <v/>
      </c>
      <c r="F392" s="18">
        <f>IF($B392="","",SUMIFS('العهد والرحلات'!$J$4:$J$2003,'العهد والرحلات'!$B$4:$B$2003,$B392))</f>
        <v/>
      </c>
      <c r="G392" s="18">
        <f>IF($B392="","",SUMIFS('الإيصالات'!$C$4:$C$2003,'الإيصالات'!$B$4:$B$2003,$B392))</f>
        <v/>
      </c>
      <c r="H392" s="38" t="n"/>
      <c r="I392" s="18">
        <f>IF($B392="","",N($F392)+N($G392)+N($H392))</f>
        <v/>
      </c>
      <c r="J392" s="18">
        <f>IF($B392="","",N($E392)-N($I392))</f>
        <v/>
      </c>
    </row>
    <row r="393">
      <c r="A393" s="16">
        <f>IF($B393="","",COUNTA($B$4:$B393))</f>
        <v/>
      </c>
      <c r="B393" s="72" t="n"/>
      <c r="C393" s="18">
        <f>IF($B393="","",N($J392))</f>
        <v/>
      </c>
      <c r="D393" s="40" t="n"/>
      <c r="E393" s="18">
        <f>IF($B393="","",N($C393)+N($D393))</f>
        <v/>
      </c>
      <c r="F393" s="18">
        <f>IF($B393="","",SUMIFS('العهد والرحلات'!$J$4:$J$2003,'العهد والرحلات'!$B$4:$B$2003,$B393))</f>
        <v/>
      </c>
      <c r="G393" s="18">
        <f>IF($B393="","",SUMIFS('الإيصالات'!$C$4:$C$2003,'الإيصالات'!$B$4:$B$2003,$B393))</f>
        <v/>
      </c>
      <c r="H393" s="40" t="n"/>
      <c r="I393" s="18">
        <f>IF($B393="","",N($F393)+N($G393)+N($H393))</f>
        <v/>
      </c>
      <c r="J393" s="18">
        <f>IF($B393="","",N($E393)-N($I393))</f>
        <v/>
      </c>
    </row>
    <row r="394">
      <c r="A394" s="16">
        <f>IF($B394="","",COUNTA($B$4:$B394))</f>
        <v/>
      </c>
      <c r="B394" s="71" t="n"/>
      <c r="C394" s="18">
        <f>IF($B394="","",N($J393))</f>
        <v/>
      </c>
      <c r="D394" s="38" t="n"/>
      <c r="E394" s="18">
        <f>IF($B394="","",N($C394)+N($D394))</f>
        <v/>
      </c>
      <c r="F394" s="18">
        <f>IF($B394="","",SUMIFS('العهد والرحلات'!$J$4:$J$2003,'العهد والرحلات'!$B$4:$B$2003,$B394))</f>
        <v/>
      </c>
      <c r="G394" s="18">
        <f>IF($B394="","",SUMIFS('الإيصالات'!$C$4:$C$2003,'الإيصالات'!$B$4:$B$2003,$B394))</f>
        <v/>
      </c>
      <c r="H394" s="38" t="n"/>
      <c r="I394" s="18">
        <f>IF($B394="","",N($F394)+N($G394)+N($H394))</f>
        <v/>
      </c>
      <c r="J394" s="18">
        <f>IF($B394="","",N($E394)-N($I394))</f>
        <v/>
      </c>
    </row>
    <row r="395">
      <c r="A395" s="16">
        <f>IF($B395="","",COUNTA($B$4:$B395))</f>
        <v/>
      </c>
      <c r="B395" s="72" t="n"/>
      <c r="C395" s="18">
        <f>IF($B395="","",N($J394))</f>
        <v/>
      </c>
      <c r="D395" s="40" t="n"/>
      <c r="E395" s="18">
        <f>IF($B395="","",N($C395)+N($D395))</f>
        <v/>
      </c>
      <c r="F395" s="18">
        <f>IF($B395="","",SUMIFS('العهد والرحلات'!$J$4:$J$2003,'العهد والرحلات'!$B$4:$B$2003,$B395))</f>
        <v/>
      </c>
      <c r="G395" s="18">
        <f>IF($B395="","",SUMIFS('الإيصالات'!$C$4:$C$2003,'الإيصالات'!$B$4:$B$2003,$B395))</f>
        <v/>
      </c>
      <c r="H395" s="40" t="n"/>
      <c r="I395" s="18">
        <f>IF($B395="","",N($F395)+N($G395)+N($H395))</f>
        <v/>
      </c>
      <c r="J395" s="18">
        <f>IF($B395="","",N($E395)-N($I395))</f>
        <v/>
      </c>
    </row>
    <row r="396">
      <c r="A396" s="16">
        <f>IF($B396="","",COUNTA($B$4:$B396))</f>
        <v/>
      </c>
      <c r="B396" s="71" t="n"/>
      <c r="C396" s="18">
        <f>IF($B396="","",N($J395))</f>
        <v/>
      </c>
      <c r="D396" s="38" t="n"/>
      <c r="E396" s="18">
        <f>IF($B396="","",N($C396)+N($D396))</f>
        <v/>
      </c>
      <c r="F396" s="18">
        <f>IF($B396="","",SUMIFS('العهد والرحلات'!$J$4:$J$2003,'العهد والرحلات'!$B$4:$B$2003,$B396))</f>
        <v/>
      </c>
      <c r="G396" s="18">
        <f>IF($B396="","",SUMIFS('الإيصالات'!$C$4:$C$2003,'الإيصالات'!$B$4:$B$2003,$B396))</f>
        <v/>
      </c>
      <c r="H396" s="38" t="n"/>
      <c r="I396" s="18">
        <f>IF($B396="","",N($F396)+N($G396)+N($H396))</f>
        <v/>
      </c>
      <c r="J396" s="18">
        <f>IF($B396="","",N($E396)-N($I396))</f>
        <v/>
      </c>
    </row>
    <row r="397">
      <c r="A397" s="16">
        <f>IF($B397="","",COUNTA($B$4:$B397))</f>
        <v/>
      </c>
      <c r="B397" s="72" t="n"/>
      <c r="C397" s="18">
        <f>IF($B397="","",N($J396))</f>
        <v/>
      </c>
      <c r="D397" s="40" t="n"/>
      <c r="E397" s="18">
        <f>IF($B397="","",N($C397)+N($D397))</f>
        <v/>
      </c>
      <c r="F397" s="18">
        <f>IF($B397="","",SUMIFS('العهد والرحلات'!$J$4:$J$2003,'العهد والرحلات'!$B$4:$B$2003,$B397))</f>
        <v/>
      </c>
      <c r="G397" s="18">
        <f>IF($B397="","",SUMIFS('الإيصالات'!$C$4:$C$2003,'الإيصالات'!$B$4:$B$2003,$B397))</f>
        <v/>
      </c>
      <c r="H397" s="40" t="n"/>
      <c r="I397" s="18">
        <f>IF($B397="","",N($F397)+N($G397)+N($H397))</f>
        <v/>
      </c>
      <c r="J397" s="18">
        <f>IF($B397="","",N($E397)-N($I397))</f>
        <v/>
      </c>
    </row>
    <row r="398">
      <c r="A398" s="16">
        <f>IF($B398="","",COUNTA($B$4:$B398))</f>
        <v/>
      </c>
      <c r="B398" s="71" t="n"/>
      <c r="C398" s="18">
        <f>IF($B398="","",N($J397))</f>
        <v/>
      </c>
      <c r="D398" s="38" t="n"/>
      <c r="E398" s="18">
        <f>IF($B398="","",N($C398)+N($D398))</f>
        <v/>
      </c>
      <c r="F398" s="18">
        <f>IF($B398="","",SUMIFS('العهد والرحلات'!$J$4:$J$2003,'العهد والرحلات'!$B$4:$B$2003,$B398))</f>
        <v/>
      </c>
      <c r="G398" s="18">
        <f>IF($B398="","",SUMIFS('الإيصالات'!$C$4:$C$2003,'الإيصالات'!$B$4:$B$2003,$B398))</f>
        <v/>
      </c>
      <c r="H398" s="38" t="n"/>
      <c r="I398" s="18">
        <f>IF($B398="","",N($F398)+N($G398)+N($H398))</f>
        <v/>
      </c>
      <c r="J398" s="18">
        <f>IF($B398="","",N($E398)-N($I398))</f>
        <v/>
      </c>
    </row>
    <row r="399">
      <c r="A399" s="16">
        <f>IF($B399="","",COUNTA($B$4:$B399))</f>
        <v/>
      </c>
      <c r="B399" s="72" t="n"/>
      <c r="C399" s="18">
        <f>IF($B399="","",N($J398))</f>
        <v/>
      </c>
      <c r="D399" s="40" t="n"/>
      <c r="E399" s="18">
        <f>IF($B399="","",N($C399)+N($D399))</f>
        <v/>
      </c>
      <c r="F399" s="18">
        <f>IF($B399="","",SUMIFS('العهد والرحلات'!$J$4:$J$2003,'العهد والرحلات'!$B$4:$B$2003,$B399))</f>
        <v/>
      </c>
      <c r="G399" s="18">
        <f>IF($B399="","",SUMIFS('الإيصالات'!$C$4:$C$2003,'الإيصالات'!$B$4:$B$2003,$B399))</f>
        <v/>
      </c>
      <c r="H399" s="40" t="n"/>
      <c r="I399" s="18">
        <f>IF($B399="","",N($F399)+N($G399)+N($H399))</f>
        <v/>
      </c>
      <c r="J399" s="18">
        <f>IF($B399="","",N($E399)-N($I399))</f>
        <v/>
      </c>
    </row>
    <row r="400">
      <c r="A400" s="16">
        <f>IF($B400="","",COUNTA($B$4:$B400))</f>
        <v/>
      </c>
      <c r="B400" s="71" t="n"/>
      <c r="C400" s="18">
        <f>IF($B400="","",N($J399))</f>
        <v/>
      </c>
      <c r="D400" s="38" t="n"/>
      <c r="E400" s="18">
        <f>IF($B400="","",N($C400)+N($D400))</f>
        <v/>
      </c>
      <c r="F400" s="18">
        <f>IF($B400="","",SUMIFS('العهد والرحلات'!$J$4:$J$2003,'العهد والرحلات'!$B$4:$B$2003,$B400))</f>
        <v/>
      </c>
      <c r="G400" s="18">
        <f>IF($B400="","",SUMIFS('الإيصالات'!$C$4:$C$2003,'الإيصالات'!$B$4:$B$2003,$B400))</f>
        <v/>
      </c>
      <c r="H400" s="38" t="n"/>
      <c r="I400" s="18">
        <f>IF($B400="","",N($F400)+N($G400)+N($H400))</f>
        <v/>
      </c>
      <c r="J400" s="18">
        <f>IF($B400="","",N($E400)-N($I400))</f>
        <v/>
      </c>
    </row>
    <row r="401">
      <c r="A401" s="16">
        <f>IF($B401="","",COUNTA($B$4:$B401))</f>
        <v/>
      </c>
      <c r="B401" s="72" t="n"/>
      <c r="C401" s="18">
        <f>IF($B401="","",N($J400))</f>
        <v/>
      </c>
      <c r="D401" s="40" t="n"/>
      <c r="E401" s="18">
        <f>IF($B401="","",N($C401)+N($D401))</f>
        <v/>
      </c>
      <c r="F401" s="18">
        <f>IF($B401="","",SUMIFS('العهد والرحلات'!$J$4:$J$2003,'العهد والرحلات'!$B$4:$B$2003,$B401))</f>
        <v/>
      </c>
      <c r="G401" s="18">
        <f>IF($B401="","",SUMIFS('الإيصالات'!$C$4:$C$2003,'الإيصالات'!$B$4:$B$2003,$B401))</f>
        <v/>
      </c>
      <c r="H401" s="40" t="n"/>
      <c r="I401" s="18">
        <f>IF($B401="","",N($F401)+N($G401)+N($H401))</f>
        <v/>
      </c>
      <c r="J401" s="18">
        <f>IF($B401="","",N($E401)-N($I401))</f>
        <v/>
      </c>
    </row>
    <row r="402">
      <c r="A402" s="16">
        <f>IF($B402="","",COUNTA($B$4:$B402))</f>
        <v/>
      </c>
      <c r="B402" s="71" t="n"/>
      <c r="C402" s="18">
        <f>IF($B402="","",N($J401))</f>
        <v/>
      </c>
      <c r="D402" s="38" t="n"/>
      <c r="E402" s="18">
        <f>IF($B402="","",N($C402)+N($D402))</f>
        <v/>
      </c>
      <c r="F402" s="18">
        <f>IF($B402="","",SUMIFS('العهد والرحلات'!$J$4:$J$2003,'العهد والرحلات'!$B$4:$B$2003,$B402))</f>
        <v/>
      </c>
      <c r="G402" s="18">
        <f>IF($B402="","",SUMIFS('الإيصالات'!$C$4:$C$2003,'الإيصالات'!$B$4:$B$2003,$B402))</f>
        <v/>
      </c>
      <c r="H402" s="38" t="n"/>
      <c r="I402" s="18">
        <f>IF($B402="","",N($F402)+N($G402)+N($H402))</f>
        <v/>
      </c>
      <c r="J402" s="18">
        <f>IF($B402="","",N($E402)-N($I402))</f>
        <v/>
      </c>
    </row>
    <row r="403">
      <c r="A403" s="16">
        <f>IF($B403="","",COUNTA($B$4:$B403))</f>
        <v/>
      </c>
      <c r="B403" s="72" t="n"/>
      <c r="C403" s="18">
        <f>IF($B403="","",N($J402))</f>
        <v/>
      </c>
      <c r="D403" s="40" t="n"/>
      <c r="E403" s="18">
        <f>IF($B403="","",N($C403)+N($D403))</f>
        <v/>
      </c>
      <c r="F403" s="18">
        <f>IF($B403="","",SUMIFS('العهد والرحلات'!$J$4:$J$2003,'العهد والرحلات'!$B$4:$B$2003,$B403))</f>
        <v/>
      </c>
      <c r="G403" s="18">
        <f>IF($B403="","",SUMIFS('الإيصالات'!$C$4:$C$2003,'الإيصالات'!$B$4:$B$2003,$B403))</f>
        <v/>
      </c>
      <c r="H403" s="40" t="n"/>
      <c r="I403" s="18">
        <f>IF($B403="","",N($F403)+N($G403)+N($H403))</f>
        <v/>
      </c>
      <c r="J403" s="18">
        <f>IF($B403="","",N($E403)-N($I403))</f>
        <v/>
      </c>
    </row>
    <row r="404">
      <c r="A404" s="16">
        <f>IF($B404="","",COUNTA($B$4:$B404))</f>
        <v/>
      </c>
      <c r="B404" s="71" t="n"/>
      <c r="C404" s="18">
        <f>IF($B404="","",N($J403))</f>
        <v/>
      </c>
      <c r="D404" s="38" t="n"/>
      <c r="E404" s="18">
        <f>IF($B404="","",N($C404)+N($D404))</f>
        <v/>
      </c>
      <c r="F404" s="18">
        <f>IF($B404="","",SUMIFS('العهد والرحلات'!$J$4:$J$2003,'العهد والرحلات'!$B$4:$B$2003,$B404))</f>
        <v/>
      </c>
      <c r="G404" s="18">
        <f>IF($B404="","",SUMIFS('الإيصالات'!$C$4:$C$2003,'الإيصالات'!$B$4:$B$2003,$B404))</f>
        <v/>
      </c>
      <c r="H404" s="38" t="n"/>
      <c r="I404" s="18">
        <f>IF($B404="","",N($F404)+N($G404)+N($H404))</f>
        <v/>
      </c>
      <c r="J404" s="18">
        <f>IF($B404="","",N($E404)-N($I404))</f>
        <v/>
      </c>
    </row>
    <row r="405">
      <c r="A405" s="16">
        <f>IF($B405="","",COUNTA($B$4:$B405))</f>
        <v/>
      </c>
      <c r="B405" s="72" t="n"/>
      <c r="C405" s="18">
        <f>IF($B405="","",N($J404))</f>
        <v/>
      </c>
      <c r="D405" s="40" t="n"/>
      <c r="E405" s="18">
        <f>IF($B405="","",N($C405)+N($D405))</f>
        <v/>
      </c>
      <c r="F405" s="18">
        <f>IF($B405="","",SUMIFS('العهد والرحلات'!$J$4:$J$2003,'العهد والرحلات'!$B$4:$B$2003,$B405))</f>
        <v/>
      </c>
      <c r="G405" s="18">
        <f>IF($B405="","",SUMIFS('الإيصالات'!$C$4:$C$2003,'الإيصالات'!$B$4:$B$2003,$B405))</f>
        <v/>
      </c>
      <c r="H405" s="40" t="n"/>
      <c r="I405" s="18">
        <f>IF($B405="","",N($F405)+N($G405)+N($H405))</f>
        <v/>
      </c>
      <c r="J405" s="18">
        <f>IF($B405="","",N($E405)-N($I405))</f>
        <v/>
      </c>
    </row>
    <row r="406">
      <c r="A406" s="16">
        <f>IF($B406="","",COUNTA($B$4:$B406))</f>
        <v/>
      </c>
      <c r="B406" s="71" t="n"/>
      <c r="C406" s="18">
        <f>IF($B406="","",N($J405))</f>
        <v/>
      </c>
      <c r="D406" s="38" t="n"/>
      <c r="E406" s="18">
        <f>IF($B406="","",N($C406)+N($D406))</f>
        <v/>
      </c>
      <c r="F406" s="18">
        <f>IF($B406="","",SUMIFS('العهد والرحلات'!$J$4:$J$2003,'العهد والرحلات'!$B$4:$B$2003,$B406))</f>
        <v/>
      </c>
      <c r="G406" s="18">
        <f>IF($B406="","",SUMIFS('الإيصالات'!$C$4:$C$2003,'الإيصالات'!$B$4:$B$2003,$B406))</f>
        <v/>
      </c>
      <c r="H406" s="38" t="n"/>
      <c r="I406" s="18">
        <f>IF($B406="","",N($F406)+N($G406)+N($H406))</f>
        <v/>
      </c>
      <c r="J406" s="18">
        <f>IF($B406="","",N($E406)-N($I406))</f>
        <v/>
      </c>
    </row>
    <row r="407">
      <c r="A407" s="16">
        <f>IF($B407="","",COUNTA($B$4:$B407))</f>
        <v/>
      </c>
      <c r="B407" s="72" t="n"/>
      <c r="C407" s="18">
        <f>IF($B407="","",N($J406))</f>
        <v/>
      </c>
      <c r="D407" s="40" t="n"/>
      <c r="E407" s="18">
        <f>IF($B407="","",N($C407)+N($D407))</f>
        <v/>
      </c>
      <c r="F407" s="18">
        <f>IF($B407="","",SUMIFS('العهد والرحلات'!$J$4:$J$2003,'العهد والرحلات'!$B$4:$B$2003,$B407))</f>
        <v/>
      </c>
      <c r="G407" s="18">
        <f>IF($B407="","",SUMIFS('الإيصالات'!$C$4:$C$2003,'الإيصالات'!$B$4:$B$2003,$B407))</f>
        <v/>
      </c>
      <c r="H407" s="40" t="n"/>
      <c r="I407" s="18">
        <f>IF($B407="","",N($F407)+N($G407)+N($H407))</f>
        <v/>
      </c>
      <c r="J407" s="18">
        <f>IF($B407="","",N($E407)-N($I407))</f>
        <v/>
      </c>
    </row>
    <row r="408">
      <c r="A408" s="16">
        <f>IF($B408="","",COUNTA($B$4:$B408))</f>
        <v/>
      </c>
      <c r="B408" s="71" t="n"/>
      <c r="C408" s="18">
        <f>IF($B408="","",N($J407))</f>
        <v/>
      </c>
      <c r="D408" s="38" t="n"/>
      <c r="E408" s="18">
        <f>IF($B408="","",N($C408)+N($D408))</f>
        <v/>
      </c>
      <c r="F408" s="18">
        <f>IF($B408="","",SUMIFS('العهد والرحلات'!$J$4:$J$2003,'العهد والرحلات'!$B$4:$B$2003,$B408))</f>
        <v/>
      </c>
      <c r="G408" s="18">
        <f>IF($B408="","",SUMIFS('الإيصالات'!$C$4:$C$2003,'الإيصالات'!$B$4:$B$2003,$B408))</f>
        <v/>
      </c>
      <c r="H408" s="38" t="n"/>
      <c r="I408" s="18">
        <f>IF($B408="","",N($F408)+N($G408)+N($H408))</f>
        <v/>
      </c>
      <c r="J408" s="18">
        <f>IF($B408="","",N($E408)-N($I408))</f>
        <v/>
      </c>
    </row>
    <row r="409">
      <c r="A409" s="16">
        <f>IF($B409="","",COUNTA($B$4:$B409))</f>
        <v/>
      </c>
      <c r="B409" s="72" t="n"/>
      <c r="C409" s="18">
        <f>IF($B409="","",N($J408))</f>
        <v/>
      </c>
      <c r="D409" s="40" t="n"/>
      <c r="E409" s="18">
        <f>IF($B409="","",N($C409)+N($D409))</f>
        <v/>
      </c>
      <c r="F409" s="18">
        <f>IF($B409="","",SUMIFS('العهد والرحلات'!$J$4:$J$2003,'العهد والرحلات'!$B$4:$B$2003,$B409))</f>
        <v/>
      </c>
      <c r="G409" s="18">
        <f>IF($B409="","",SUMIFS('الإيصالات'!$C$4:$C$2003,'الإيصالات'!$B$4:$B$2003,$B409))</f>
        <v/>
      </c>
      <c r="H409" s="40" t="n"/>
      <c r="I409" s="18">
        <f>IF($B409="","",N($F409)+N($G409)+N($H409))</f>
        <v/>
      </c>
      <c r="J409" s="18">
        <f>IF($B409="","",N($E409)-N($I409))</f>
        <v/>
      </c>
    </row>
    <row r="410">
      <c r="A410" s="16">
        <f>IF($B410="","",COUNTA($B$4:$B410))</f>
        <v/>
      </c>
      <c r="B410" s="71" t="n"/>
      <c r="C410" s="18">
        <f>IF($B410="","",N($J409))</f>
        <v/>
      </c>
      <c r="D410" s="38" t="n"/>
      <c r="E410" s="18">
        <f>IF($B410="","",N($C410)+N($D410))</f>
        <v/>
      </c>
      <c r="F410" s="18">
        <f>IF($B410="","",SUMIFS('العهد والرحلات'!$J$4:$J$2003,'العهد والرحلات'!$B$4:$B$2003,$B410))</f>
        <v/>
      </c>
      <c r="G410" s="18">
        <f>IF($B410="","",SUMIFS('الإيصالات'!$C$4:$C$2003,'الإيصالات'!$B$4:$B$2003,$B410))</f>
        <v/>
      </c>
      <c r="H410" s="38" t="n"/>
      <c r="I410" s="18">
        <f>IF($B410="","",N($F410)+N($G410)+N($H410))</f>
        <v/>
      </c>
      <c r="J410" s="18">
        <f>IF($B410="","",N($E410)-N($I410))</f>
        <v/>
      </c>
    </row>
    <row r="411">
      <c r="A411" s="16">
        <f>IF($B411="","",COUNTA($B$4:$B411))</f>
        <v/>
      </c>
      <c r="B411" s="72" t="n"/>
      <c r="C411" s="18">
        <f>IF($B411="","",N($J410))</f>
        <v/>
      </c>
      <c r="D411" s="40" t="n"/>
      <c r="E411" s="18">
        <f>IF($B411="","",N($C411)+N($D411))</f>
        <v/>
      </c>
      <c r="F411" s="18">
        <f>IF($B411="","",SUMIFS('العهد والرحلات'!$J$4:$J$2003,'العهد والرحلات'!$B$4:$B$2003,$B411))</f>
        <v/>
      </c>
      <c r="G411" s="18">
        <f>IF($B411="","",SUMIFS('الإيصالات'!$C$4:$C$2003,'الإيصالات'!$B$4:$B$2003,$B411))</f>
        <v/>
      </c>
      <c r="H411" s="40" t="n"/>
      <c r="I411" s="18">
        <f>IF($B411="","",N($F411)+N($G411)+N($H411))</f>
        <v/>
      </c>
      <c r="J411" s="18">
        <f>IF($B411="","",N($E411)-N($I411))</f>
        <v/>
      </c>
    </row>
    <row r="412">
      <c r="A412" s="16">
        <f>IF($B412="","",COUNTA($B$4:$B412))</f>
        <v/>
      </c>
      <c r="B412" s="71" t="n"/>
      <c r="C412" s="18">
        <f>IF($B412="","",N($J411))</f>
        <v/>
      </c>
      <c r="D412" s="38" t="n"/>
      <c r="E412" s="18">
        <f>IF($B412="","",N($C412)+N($D412))</f>
        <v/>
      </c>
      <c r="F412" s="18">
        <f>IF($B412="","",SUMIFS('العهد والرحلات'!$J$4:$J$2003,'العهد والرحلات'!$B$4:$B$2003,$B412))</f>
        <v/>
      </c>
      <c r="G412" s="18">
        <f>IF($B412="","",SUMIFS('الإيصالات'!$C$4:$C$2003,'الإيصالات'!$B$4:$B$2003,$B412))</f>
        <v/>
      </c>
      <c r="H412" s="38" t="n"/>
      <c r="I412" s="18">
        <f>IF($B412="","",N($F412)+N($G412)+N($H412))</f>
        <v/>
      </c>
      <c r="J412" s="18">
        <f>IF($B412="","",N($E412)-N($I412))</f>
        <v/>
      </c>
    </row>
    <row r="413">
      <c r="A413" s="16">
        <f>IF($B413="","",COUNTA($B$4:$B413))</f>
        <v/>
      </c>
      <c r="B413" s="72" t="n"/>
      <c r="C413" s="18">
        <f>IF($B413="","",N($J412))</f>
        <v/>
      </c>
      <c r="D413" s="40" t="n"/>
      <c r="E413" s="18">
        <f>IF($B413="","",N($C413)+N($D413))</f>
        <v/>
      </c>
      <c r="F413" s="18">
        <f>IF($B413="","",SUMIFS('العهد والرحلات'!$J$4:$J$2003,'العهد والرحلات'!$B$4:$B$2003,$B413))</f>
        <v/>
      </c>
      <c r="G413" s="18">
        <f>IF($B413="","",SUMIFS('الإيصالات'!$C$4:$C$2003,'الإيصالات'!$B$4:$B$2003,$B413))</f>
        <v/>
      </c>
      <c r="H413" s="40" t="n"/>
      <c r="I413" s="18">
        <f>IF($B413="","",N($F413)+N($G413)+N($H413))</f>
        <v/>
      </c>
      <c r="J413" s="18">
        <f>IF($B413="","",N($E413)-N($I413))</f>
        <v/>
      </c>
    </row>
    <row r="414">
      <c r="A414" s="16">
        <f>IF($B414="","",COUNTA($B$4:$B414))</f>
        <v/>
      </c>
      <c r="B414" s="71" t="n"/>
      <c r="C414" s="18">
        <f>IF($B414="","",N($J413))</f>
        <v/>
      </c>
      <c r="D414" s="38" t="n"/>
      <c r="E414" s="18">
        <f>IF($B414="","",N($C414)+N($D414))</f>
        <v/>
      </c>
      <c r="F414" s="18">
        <f>IF($B414="","",SUMIFS('العهد والرحلات'!$J$4:$J$2003,'العهد والرحلات'!$B$4:$B$2003,$B414))</f>
        <v/>
      </c>
      <c r="G414" s="18">
        <f>IF($B414="","",SUMIFS('الإيصالات'!$C$4:$C$2003,'الإيصالات'!$B$4:$B$2003,$B414))</f>
        <v/>
      </c>
      <c r="H414" s="38" t="n"/>
      <c r="I414" s="18">
        <f>IF($B414="","",N($F414)+N($G414)+N($H414))</f>
        <v/>
      </c>
      <c r="J414" s="18">
        <f>IF($B414="","",N($E414)-N($I414))</f>
        <v/>
      </c>
    </row>
    <row r="415">
      <c r="A415" s="16">
        <f>IF($B415="","",COUNTA($B$4:$B415))</f>
        <v/>
      </c>
      <c r="B415" s="72" t="n"/>
      <c r="C415" s="18">
        <f>IF($B415="","",N($J414))</f>
        <v/>
      </c>
      <c r="D415" s="40" t="n"/>
      <c r="E415" s="18">
        <f>IF($B415="","",N($C415)+N($D415))</f>
        <v/>
      </c>
      <c r="F415" s="18">
        <f>IF($B415="","",SUMIFS('العهد والرحلات'!$J$4:$J$2003,'العهد والرحلات'!$B$4:$B$2003,$B415))</f>
        <v/>
      </c>
      <c r="G415" s="18">
        <f>IF($B415="","",SUMIFS('الإيصالات'!$C$4:$C$2003,'الإيصالات'!$B$4:$B$2003,$B415))</f>
        <v/>
      </c>
      <c r="H415" s="40" t="n"/>
      <c r="I415" s="18">
        <f>IF($B415="","",N($F415)+N($G415)+N($H415))</f>
        <v/>
      </c>
      <c r="J415" s="18">
        <f>IF($B415="","",N($E415)-N($I415))</f>
        <v/>
      </c>
    </row>
    <row r="416">
      <c r="A416" s="16">
        <f>IF($B416="","",COUNTA($B$4:$B416))</f>
        <v/>
      </c>
      <c r="B416" s="71" t="n"/>
      <c r="C416" s="18">
        <f>IF($B416="","",N($J415))</f>
        <v/>
      </c>
      <c r="D416" s="38" t="n"/>
      <c r="E416" s="18">
        <f>IF($B416="","",N($C416)+N($D416))</f>
        <v/>
      </c>
      <c r="F416" s="18">
        <f>IF($B416="","",SUMIFS('العهد والرحلات'!$J$4:$J$2003,'العهد والرحلات'!$B$4:$B$2003,$B416))</f>
        <v/>
      </c>
      <c r="G416" s="18">
        <f>IF($B416="","",SUMIFS('الإيصالات'!$C$4:$C$2003,'الإيصالات'!$B$4:$B$2003,$B416))</f>
        <v/>
      </c>
      <c r="H416" s="38" t="n"/>
      <c r="I416" s="18">
        <f>IF($B416="","",N($F416)+N($G416)+N($H416))</f>
        <v/>
      </c>
      <c r="J416" s="18">
        <f>IF($B416="","",N($E416)-N($I416))</f>
        <v/>
      </c>
    </row>
    <row r="417">
      <c r="A417" s="16">
        <f>IF($B417="","",COUNTA($B$4:$B417))</f>
        <v/>
      </c>
      <c r="B417" s="72" t="n"/>
      <c r="C417" s="18">
        <f>IF($B417="","",N($J416))</f>
        <v/>
      </c>
      <c r="D417" s="40" t="n"/>
      <c r="E417" s="18">
        <f>IF($B417="","",N($C417)+N($D417))</f>
        <v/>
      </c>
      <c r="F417" s="18">
        <f>IF($B417="","",SUMIFS('العهد والرحلات'!$J$4:$J$2003,'العهد والرحلات'!$B$4:$B$2003,$B417))</f>
        <v/>
      </c>
      <c r="G417" s="18">
        <f>IF($B417="","",SUMIFS('الإيصالات'!$C$4:$C$2003,'الإيصالات'!$B$4:$B$2003,$B417))</f>
        <v/>
      </c>
      <c r="H417" s="40" t="n"/>
      <c r="I417" s="18">
        <f>IF($B417="","",N($F417)+N($G417)+N($H417))</f>
        <v/>
      </c>
      <c r="J417" s="18">
        <f>IF($B417="","",N($E417)-N($I417))</f>
        <v/>
      </c>
    </row>
    <row r="418">
      <c r="A418" s="16">
        <f>IF($B418="","",COUNTA($B$4:$B418))</f>
        <v/>
      </c>
      <c r="B418" s="71" t="n"/>
      <c r="C418" s="18">
        <f>IF($B418="","",N($J417))</f>
        <v/>
      </c>
      <c r="D418" s="38" t="n"/>
      <c r="E418" s="18">
        <f>IF($B418="","",N($C418)+N($D418))</f>
        <v/>
      </c>
      <c r="F418" s="18">
        <f>IF($B418="","",SUMIFS('العهد والرحلات'!$J$4:$J$2003,'العهد والرحلات'!$B$4:$B$2003,$B418))</f>
        <v/>
      </c>
      <c r="G418" s="18">
        <f>IF($B418="","",SUMIFS('الإيصالات'!$C$4:$C$2003,'الإيصالات'!$B$4:$B$2003,$B418))</f>
        <v/>
      </c>
      <c r="H418" s="38" t="n"/>
      <c r="I418" s="18">
        <f>IF($B418="","",N($F418)+N($G418)+N($H418))</f>
        <v/>
      </c>
      <c r="J418" s="18">
        <f>IF($B418="","",N($E418)-N($I418))</f>
        <v/>
      </c>
    </row>
    <row r="419">
      <c r="A419" s="16">
        <f>IF($B419="","",COUNTA($B$4:$B419))</f>
        <v/>
      </c>
      <c r="B419" s="72" t="n"/>
      <c r="C419" s="18">
        <f>IF($B419="","",N($J418))</f>
        <v/>
      </c>
      <c r="D419" s="40" t="n"/>
      <c r="E419" s="18">
        <f>IF($B419="","",N($C419)+N($D419))</f>
        <v/>
      </c>
      <c r="F419" s="18">
        <f>IF($B419="","",SUMIFS('العهد والرحلات'!$J$4:$J$2003,'العهد والرحلات'!$B$4:$B$2003,$B419))</f>
        <v/>
      </c>
      <c r="G419" s="18">
        <f>IF($B419="","",SUMIFS('الإيصالات'!$C$4:$C$2003,'الإيصالات'!$B$4:$B$2003,$B419))</f>
        <v/>
      </c>
      <c r="H419" s="40" t="n"/>
      <c r="I419" s="18">
        <f>IF($B419="","",N($F419)+N($G419)+N($H419))</f>
        <v/>
      </c>
      <c r="J419" s="18">
        <f>IF($B419="","",N($E419)-N($I419))</f>
        <v/>
      </c>
    </row>
    <row r="420">
      <c r="A420" s="16">
        <f>IF($B420="","",COUNTA($B$4:$B420))</f>
        <v/>
      </c>
      <c r="B420" s="71" t="n"/>
      <c r="C420" s="18">
        <f>IF($B420="","",N($J419))</f>
        <v/>
      </c>
      <c r="D420" s="38" t="n"/>
      <c r="E420" s="18">
        <f>IF($B420="","",N($C420)+N($D420))</f>
        <v/>
      </c>
      <c r="F420" s="18">
        <f>IF($B420="","",SUMIFS('العهد والرحلات'!$J$4:$J$2003,'العهد والرحلات'!$B$4:$B$2003,$B420))</f>
        <v/>
      </c>
      <c r="G420" s="18">
        <f>IF($B420="","",SUMIFS('الإيصالات'!$C$4:$C$2003,'الإيصالات'!$B$4:$B$2003,$B420))</f>
        <v/>
      </c>
      <c r="H420" s="38" t="n"/>
      <c r="I420" s="18">
        <f>IF($B420="","",N($F420)+N($G420)+N($H420))</f>
        <v/>
      </c>
      <c r="J420" s="18">
        <f>IF($B420="","",N($E420)-N($I420))</f>
        <v/>
      </c>
    </row>
    <row r="421">
      <c r="A421" s="16">
        <f>IF($B421="","",COUNTA($B$4:$B421))</f>
        <v/>
      </c>
      <c r="B421" s="72" t="n"/>
      <c r="C421" s="18">
        <f>IF($B421="","",N($J420))</f>
        <v/>
      </c>
      <c r="D421" s="40" t="n"/>
      <c r="E421" s="18">
        <f>IF($B421="","",N($C421)+N($D421))</f>
        <v/>
      </c>
      <c r="F421" s="18">
        <f>IF($B421="","",SUMIFS('العهد والرحلات'!$J$4:$J$2003,'العهد والرحلات'!$B$4:$B$2003,$B421))</f>
        <v/>
      </c>
      <c r="G421" s="18">
        <f>IF($B421="","",SUMIFS('الإيصالات'!$C$4:$C$2003,'الإيصالات'!$B$4:$B$2003,$B421))</f>
        <v/>
      </c>
      <c r="H421" s="40" t="n"/>
      <c r="I421" s="18">
        <f>IF($B421="","",N($F421)+N($G421)+N($H421))</f>
        <v/>
      </c>
      <c r="J421" s="18">
        <f>IF($B421="","",N($E421)-N($I421))</f>
        <v/>
      </c>
    </row>
    <row r="422">
      <c r="A422" s="16">
        <f>IF($B422="","",COUNTA($B$4:$B422))</f>
        <v/>
      </c>
      <c r="B422" s="71" t="n"/>
      <c r="C422" s="18">
        <f>IF($B422="","",N($J421))</f>
        <v/>
      </c>
      <c r="D422" s="38" t="n"/>
      <c r="E422" s="18">
        <f>IF($B422="","",N($C422)+N($D422))</f>
        <v/>
      </c>
      <c r="F422" s="18">
        <f>IF($B422="","",SUMIFS('العهد والرحلات'!$J$4:$J$2003,'العهد والرحلات'!$B$4:$B$2003,$B422))</f>
        <v/>
      </c>
      <c r="G422" s="18">
        <f>IF($B422="","",SUMIFS('الإيصالات'!$C$4:$C$2003,'الإيصالات'!$B$4:$B$2003,$B422))</f>
        <v/>
      </c>
      <c r="H422" s="38" t="n"/>
      <c r="I422" s="18">
        <f>IF($B422="","",N($F422)+N($G422)+N($H422))</f>
        <v/>
      </c>
      <c r="J422" s="18">
        <f>IF($B422="","",N($E422)-N($I422))</f>
        <v/>
      </c>
    </row>
    <row r="423">
      <c r="A423" s="16">
        <f>IF($B423="","",COUNTA($B$4:$B423))</f>
        <v/>
      </c>
      <c r="B423" s="72" t="n"/>
      <c r="C423" s="18">
        <f>IF($B423="","",N($J422))</f>
        <v/>
      </c>
      <c r="D423" s="40" t="n"/>
      <c r="E423" s="18">
        <f>IF($B423="","",N($C423)+N($D423))</f>
        <v/>
      </c>
      <c r="F423" s="18">
        <f>IF($B423="","",SUMIFS('العهد والرحلات'!$J$4:$J$2003,'العهد والرحلات'!$B$4:$B$2003,$B423))</f>
        <v/>
      </c>
      <c r="G423" s="18">
        <f>IF($B423="","",SUMIFS('الإيصالات'!$C$4:$C$2003,'الإيصالات'!$B$4:$B$2003,$B423))</f>
        <v/>
      </c>
      <c r="H423" s="40" t="n"/>
      <c r="I423" s="18">
        <f>IF($B423="","",N($F423)+N($G423)+N($H423))</f>
        <v/>
      </c>
      <c r="J423" s="18">
        <f>IF($B423="","",N($E423)-N($I423))</f>
        <v/>
      </c>
    </row>
    <row r="424">
      <c r="A424" s="16">
        <f>IF($B424="","",COUNTA($B$4:$B424))</f>
        <v/>
      </c>
      <c r="B424" s="71" t="n"/>
      <c r="C424" s="18">
        <f>IF($B424="","",N($J423))</f>
        <v/>
      </c>
      <c r="D424" s="38" t="n"/>
      <c r="E424" s="18">
        <f>IF($B424="","",N($C424)+N($D424))</f>
        <v/>
      </c>
      <c r="F424" s="18">
        <f>IF($B424="","",SUMIFS('العهد والرحلات'!$J$4:$J$2003,'العهد والرحلات'!$B$4:$B$2003,$B424))</f>
        <v/>
      </c>
      <c r="G424" s="18">
        <f>IF($B424="","",SUMIFS('الإيصالات'!$C$4:$C$2003,'الإيصالات'!$B$4:$B$2003,$B424))</f>
        <v/>
      </c>
      <c r="H424" s="38" t="n"/>
      <c r="I424" s="18">
        <f>IF($B424="","",N($F424)+N($G424)+N($H424))</f>
        <v/>
      </c>
      <c r="J424" s="18">
        <f>IF($B424="","",N($E424)-N($I424))</f>
        <v/>
      </c>
    </row>
    <row r="425">
      <c r="A425" s="16">
        <f>IF($B425="","",COUNTA($B$4:$B425))</f>
        <v/>
      </c>
      <c r="B425" s="72" t="n"/>
      <c r="C425" s="18">
        <f>IF($B425="","",N($J424))</f>
        <v/>
      </c>
      <c r="D425" s="40" t="n"/>
      <c r="E425" s="18">
        <f>IF($B425="","",N($C425)+N($D425))</f>
        <v/>
      </c>
      <c r="F425" s="18">
        <f>IF($B425="","",SUMIFS('العهد والرحلات'!$J$4:$J$2003,'العهد والرحلات'!$B$4:$B$2003,$B425))</f>
        <v/>
      </c>
      <c r="G425" s="18">
        <f>IF($B425="","",SUMIFS('الإيصالات'!$C$4:$C$2003,'الإيصالات'!$B$4:$B$2003,$B425))</f>
        <v/>
      </c>
      <c r="H425" s="40" t="n"/>
      <c r="I425" s="18">
        <f>IF($B425="","",N($F425)+N($G425)+N($H425))</f>
        <v/>
      </c>
      <c r="J425" s="18">
        <f>IF($B425="","",N($E425)-N($I425))</f>
        <v/>
      </c>
    </row>
    <row r="426">
      <c r="A426" s="16">
        <f>IF($B426="","",COUNTA($B$4:$B426))</f>
        <v/>
      </c>
      <c r="B426" s="71" t="n"/>
      <c r="C426" s="18">
        <f>IF($B426="","",N($J425))</f>
        <v/>
      </c>
      <c r="D426" s="38" t="n"/>
      <c r="E426" s="18">
        <f>IF($B426="","",N($C426)+N($D426))</f>
        <v/>
      </c>
      <c r="F426" s="18">
        <f>IF($B426="","",SUMIFS('العهد والرحلات'!$J$4:$J$2003,'العهد والرحلات'!$B$4:$B$2003,$B426))</f>
        <v/>
      </c>
      <c r="G426" s="18">
        <f>IF($B426="","",SUMIFS('الإيصالات'!$C$4:$C$2003,'الإيصالات'!$B$4:$B$2003,$B426))</f>
        <v/>
      </c>
      <c r="H426" s="38" t="n"/>
      <c r="I426" s="18">
        <f>IF($B426="","",N($F426)+N($G426)+N($H426))</f>
        <v/>
      </c>
      <c r="J426" s="18">
        <f>IF($B426="","",N($E426)-N($I426))</f>
        <v/>
      </c>
    </row>
    <row r="427">
      <c r="A427" s="16">
        <f>IF($B427="","",COUNTA($B$4:$B427))</f>
        <v/>
      </c>
      <c r="B427" s="72" t="n"/>
      <c r="C427" s="18">
        <f>IF($B427="","",N($J426))</f>
        <v/>
      </c>
      <c r="D427" s="40" t="n"/>
      <c r="E427" s="18">
        <f>IF($B427="","",N($C427)+N($D427))</f>
        <v/>
      </c>
      <c r="F427" s="18">
        <f>IF($B427="","",SUMIFS('العهد والرحلات'!$J$4:$J$2003,'العهد والرحلات'!$B$4:$B$2003,$B427))</f>
        <v/>
      </c>
      <c r="G427" s="18">
        <f>IF($B427="","",SUMIFS('الإيصالات'!$C$4:$C$2003,'الإيصالات'!$B$4:$B$2003,$B427))</f>
        <v/>
      </c>
      <c r="H427" s="40" t="n"/>
      <c r="I427" s="18">
        <f>IF($B427="","",N($F427)+N($G427)+N($H427))</f>
        <v/>
      </c>
      <c r="J427" s="18">
        <f>IF($B427="","",N($E427)-N($I427))</f>
        <v/>
      </c>
    </row>
    <row r="428">
      <c r="A428" s="16">
        <f>IF($B428="","",COUNTA($B$4:$B428))</f>
        <v/>
      </c>
      <c r="B428" s="71" t="n"/>
      <c r="C428" s="18">
        <f>IF($B428="","",N($J427))</f>
        <v/>
      </c>
      <c r="D428" s="38" t="n"/>
      <c r="E428" s="18">
        <f>IF($B428="","",N($C428)+N($D428))</f>
        <v/>
      </c>
      <c r="F428" s="18">
        <f>IF($B428="","",SUMIFS('العهد والرحلات'!$J$4:$J$2003,'العهد والرحلات'!$B$4:$B$2003,$B428))</f>
        <v/>
      </c>
      <c r="G428" s="18">
        <f>IF($B428="","",SUMIFS('الإيصالات'!$C$4:$C$2003,'الإيصالات'!$B$4:$B$2003,$B428))</f>
        <v/>
      </c>
      <c r="H428" s="38" t="n"/>
      <c r="I428" s="18">
        <f>IF($B428="","",N($F428)+N($G428)+N($H428))</f>
        <v/>
      </c>
      <c r="J428" s="18">
        <f>IF($B428="","",N($E428)-N($I428))</f>
        <v/>
      </c>
    </row>
    <row r="429">
      <c r="A429" s="16">
        <f>IF($B429="","",COUNTA($B$4:$B429))</f>
        <v/>
      </c>
      <c r="B429" s="72" t="n"/>
      <c r="C429" s="18">
        <f>IF($B429="","",N($J428))</f>
        <v/>
      </c>
      <c r="D429" s="40" t="n"/>
      <c r="E429" s="18">
        <f>IF($B429="","",N($C429)+N($D429))</f>
        <v/>
      </c>
      <c r="F429" s="18">
        <f>IF($B429="","",SUMIFS('العهد والرحلات'!$J$4:$J$2003,'العهد والرحلات'!$B$4:$B$2003,$B429))</f>
        <v/>
      </c>
      <c r="G429" s="18">
        <f>IF($B429="","",SUMIFS('الإيصالات'!$C$4:$C$2003,'الإيصالات'!$B$4:$B$2003,$B429))</f>
        <v/>
      </c>
      <c r="H429" s="40" t="n"/>
      <c r="I429" s="18">
        <f>IF($B429="","",N($F429)+N($G429)+N($H429))</f>
        <v/>
      </c>
      <c r="J429" s="18">
        <f>IF($B429="","",N($E429)-N($I429))</f>
        <v/>
      </c>
    </row>
    <row r="430">
      <c r="A430" s="16">
        <f>IF($B430="","",COUNTA($B$4:$B430))</f>
        <v/>
      </c>
      <c r="B430" s="71" t="n"/>
      <c r="C430" s="18">
        <f>IF($B430="","",N($J429))</f>
        <v/>
      </c>
      <c r="D430" s="38" t="n"/>
      <c r="E430" s="18">
        <f>IF($B430="","",N($C430)+N($D430))</f>
        <v/>
      </c>
      <c r="F430" s="18">
        <f>IF($B430="","",SUMIFS('العهد والرحلات'!$J$4:$J$2003,'العهد والرحلات'!$B$4:$B$2003,$B430))</f>
        <v/>
      </c>
      <c r="G430" s="18">
        <f>IF($B430="","",SUMIFS('الإيصالات'!$C$4:$C$2003,'الإيصالات'!$B$4:$B$2003,$B430))</f>
        <v/>
      </c>
      <c r="H430" s="38" t="n"/>
      <c r="I430" s="18">
        <f>IF($B430="","",N($F430)+N($G430)+N($H430))</f>
        <v/>
      </c>
      <c r="J430" s="18">
        <f>IF($B430="","",N($E430)-N($I430))</f>
        <v/>
      </c>
    </row>
    <row r="431">
      <c r="A431" s="16">
        <f>IF($B431="","",COUNTA($B$4:$B431))</f>
        <v/>
      </c>
      <c r="B431" s="72" t="n"/>
      <c r="C431" s="18">
        <f>IF($B431="","",N($J430))</f>
        <v/>
      </c>
      <c r="D431" s="40" t="n"/>
      <c r="E431" s="18">
        <f>IF($B431="","",N($C431)+N($D431))</f>
        <v/>
      </c>
      <c r="F431" s="18">
        <f>IF($B431="","",SUMIFS('العهد والرحلات'!$J$4:$J$2003,'العهد والرحلات'!$B$4:$B$2003,$B431))</f>
        <v/>
      </c>
      <c r="G431" s="18">
        <f>IF($B431="","",SUMIFS('الإيصالات'!$C$4:$C$2003,'الإيصالات'!$B$4:$B$2003,$B431))</f>
        <v/>
      </c>
      <c r="H431" s="40" t="n"/>
      <c r="I431" s="18">
        <f>IF($B431="","",N($F431)+N($G431)+N($H431))</f>
        <v/>
      </c>
      <c r="J431" s="18">
        <f>IF($B431="","",N($E431)-N($I431))</f>
        <v/>
      </c>
    </row>
    <row r="432">
      <c r="A432" s="16">
        <f>IF($B432="","",COUNTA($B$4:$B432))</f>
        <v/>
      </c>
      <c r="B432" s="71" t="n"/>
      <c r="C432" s="18">
        <f>IF($B432="","",N($J431))</f>
        <v/>
      </c>
      <c r="D432" s="38" t="n"/>
      <c r="E432" s="18">
        <f>IF($B432="","",N($C432)+N($D432))</f>
        <v/>
      </c>
      <c r="F432" s="18">
        <f>IF($B432="","",SUMIFS('العهد والرحلات'!$J$4:$J$2003,'العهد والرحلات'!$B$4:$B$2003,$B432))</f>
        <v/>
      </c>
      <c r="G432" s="18">
        <f>IF($B432="","",SUMIFS('الإيصالات'!$C$4:$C$2003,'الإيصالات'!$B$4:$B$2003,$B432))</f>
        <v/>
      </c>
      <c r="H432" s="38" t="n"/>
      <c r="I432" s="18">
        <f>IF($B432="","",N($F432)+N($G432)+N($H432))</f>
        <v/>
      </c>
      <c r="J432" s="18">
        <f>IF($B432="","",N($E432)-N($I432))</f>
        <v/>
      </c>
    </row>
    <row r="433">
      <c r="A433" s="16">
        <f>IF($B433="","",COUNTA($B$4:$B433))</f>
        <v/>
      </c>
      <c r="B433" s="72" t="n"/>
      <c r="C433" s="18">
        <f>IF($B433="","",N($J432))</f>
        <v/>
      </c>
      <c r="D433" s="40" t="n"/>
      <c r="E433" s="18">
        <f>IF($B433="","",N($C433)+N($D433))</f>
        <v/>
      </c>
      <c r="F433" s="18">
        <f>IF($B433="","",SUMIFS('العهد والرحلات'!$J$4:$J$2003,'العهد والرحلات'!$B$4:$B$2003,$B433))</f>
        <v/>
      </c>
      <c r="G433" s="18">
        <f>IF($B433="","",SUMIFS('الإيصالات'!$C$4:$C$2003,'الإيصالات'!$B$4:$B$2003,$B433))</f>
        <v/>
      </c>
      <c r="H433" s="40" t="n"/>
      <c r="I433" s="18">
        <f>IF($B433="","",N($F433)+N($G433)+N($H433))</f>
        <v/>
      </c>
      <c r="J433" s="18">
        <f>IF($B433="","",N($E433)-N($I433))</f>
        <v/>
      </c>
    </row>
    <row r="434">
      <c r="A434" s="16">
        <f>IF($B434="","",COUNTA($B$4:$B434))</f>
        <v/>
      </c>
      <c r="B434" s="71" t="n"/>
      <c r="C434" s="18">
        <f>IF($B434="","",N($J433))</f>
        <v/>
      </c>
      <c r="D434" s="38" t="n"/>
      <c r="E434" s="18">
        <f>IF($B434="","",N($C434)+N($D434))</f>
        <v/>
      </c>
      <c r="F434" s="18">
        <f>IF($B434="","",SUMIFS('العهد والرحلات'!$J$4:$J$2003,'العهد والرحلات'!$B$4:$B$2003,$B434))</f>
        <v/>
      </c>
      <c r="G434" s="18">
        <f>IF($B434="","",SUMIFS('الإيصالات'!$C$4:$C$2003,'الإيصالات'!$B$4:$B$2003,$B434))</f>
        <v/>
      </c>
      <c r="H434" s="38" t="n"/>
      <c r="I434" s="18">
        <f>IF($B434="","",N($F434)+N($G434)+N($H434))</f>
        <v/>
      </c>
      <c r="J434" s="18">
        <f>IF($B434="","",N($E434)-N($I434))</f>
        <v/>
      </c>
    </row>
    <row r="435">
      <c r="A435" s="16">
        <f>IF($B435="","",COUNTA($B$4:$B435))</f>
        <v/>
      </c>
      <c r="B435" s="72" t="n"/>
      <c r="C435" s="18">
        <f>IF($B435="","",N($J434))</f>
        <v/>
      </c>
      <c r="D435" s="40" t="n"/>
      <c r="E435" s="18">
        <f>IF($B435="","",N($C435)+N($D435))</f>
        <v/>
      </c>
      <c r="F435" s="18">
        <f>IF($B435="","",SUMIFS('العهد والرحلات'!$J$4:$J$2003,'العهد والرحلات'!$B$4:$B$2003,$B435))</f>
        <v/>
      </c>
      <c r="G435" s="18">
        <f>IF($B435="","",SUMIFS('الإيصالات'!$C$4:$C$2003,'الإيصالات'!$B$4:$B$2003,$B435))</f>
        <v/>
      </c>
      <c r="H435" s="40" t="n"/>
      <c r="I435" s="18">
        <f>IF($B435="","",N($F435)+N($G435)+N($H435))</f>
        <v/>
      </c>
      <c r="J435" s="18">
        <f>IF($B435="","",N($E435)-N($I435))</f>
        <v/>
      </c>
    </row>
    <row r="436">
      <c r="A436" s="16">
        <f>IF($B436="","",COUNTA($B$4:$B436))</f>
        <v/>
      </c>
      <c r="B436" s="71" t="n"/>
      <c r="C436" s="18">
        <f>IF($B436="","",N($J435))</f>
        <v/>
      </c>
      <c r="D436" s="38" t="n"/>
      <c r="E436" s="18">
        <f>IF($B436="","",N($C436)+N($D436))</f>
        <v/>
      </c>
      <c r="F436" s="18">
        <f>IF($B436="","",SUMIFS('العهد والرحلات'!$J$4:$J$2003,'العهد والرحلات'!$B$4:$B$2003,$B436))</f>
        <v/>
      </c>
      <c r="G436" s="18">
        <f>IF($B436="","",SUMIFS('الإيصالات'!$C$4:$C$2003,'الإيصالات'!$B$4:$B$2003,$B436))</f>
        <v/>
      </c>
      <c r="H436" s="38" t="n"/>
      <c r="I436" s="18">
        <f>IF($B436="","",N($F436)+N($G436)+N($H436))</f>
        <v/>
      </c>
      <c r="J436" s="18">
        <f>IF($B436="","",N($E436)-N($I436))</f>
        <v/>
      </c>
    </row>
    <row r="437">
      <c r="A437" s="16">
        <f>IF($B437="","",COUNTA($B$4:$B437))</f>
        <v/>
      </c>
      <c r="B437" s="72" t="n"/>
      <c r="C437" s="18">
        <f>IF($B437="","",N($J436))</f>
        <v/>
      </c>
      <c r="D437" s="40" t="n"/>
      <c r="E437" s="18">
        <f>IF($B437="","",N($C437)+N($D437))</f>
        <v/>
      </c>
      <c r="F437" s="18">
        <f>IF($B437="","",SUMIFS('العهد والرحلات'!$J$4:$J$2003,'العهد والرحلات'!$B$4:$B$2003,$B437))</f>
        <v/>
      </c>
      <c r="G437" s="18">
        <f>IF($B437="","",SUMIFS('الإيصالات'!$C$4:$C$2003,'الإيصالات'!$B$4:$B$2003,$B437))</f>
        <v/>
      </c>
      <c r="H437" s="40" t="n"/>
      <c r="I437" s="18">
        <f>IF($B437="","",N($F437)+N($G437)+N($H437))</f>
        <v/>
      </c>
      <c r="J437" s="18">
        <f>IF($B437="","",N($E437)-N($I437))</f>
        <v/>
      </c>
    </row>
    <row r="438">
      <c r="A438" s="16">
        <f>IF($B438="","",COUNTA($B$4:$B438))</f>
        <v/>
      </c>
      <c r="B438" s="71" t="n"/>
      <c r="C438" s="18">
        <f>IF($B438="","",N($J437))</f>
        <v/>
      </c>
      <c r="D438" s="38" t="n"/>
      <c r="E438" s="18">
        <f>IF($B438="","",N($C438)+N($D438))</f>
        <v/>
      </c>
      <c r="F438" s="18">
        <f>IF($B438="","",SUMIFS('العهد والرحلات'!$J$4:$J$2003,'العهد والرحلات'!$B$4:$B$2003,$B438))</f>
        <v/>
      </c>
      <c r="G438" s="18">
        <f>IF($B438="","",SUMIFS('الإيصالات'!$C$4:$C$2003,'الإيصالات'!$B$4:$B$2003,$B438))</f>
        <v/>
      </c>
      <c r="H438" s="38" t="n"/>
      <c r="I438" s="18">
        <f>IF($B438="","",N($F438)+N($G438)+N($H438))</f>
        <v/>
      </c>
      <c r="J438" s="18">
        <f>IF($B438="","",N($E438)-N($I438))</f>
        <v/>
      </c>
    </row>
    <row r="439">
      <c r="A439" s="16">
        <f>IF($B439="","",COUNTA($B$4:$B439))</f>
        <v/>
      </c>
      <c r="B439" s="72" t="n"/>
      <c r="C439" s="18">
        <f>IF($B439="","",N($J438))</f>
        <v/>
      </c>
      <c r="D439" s="40" t="n"/>
      <c r="E439" s="18">
        <f>IF($B439="","",N($C439)+N($D439))</f>
        <v/>
      </c>
      <c r="F439" s="18">
        <f>IF($B439="","",SUMIFS('العهد والرحلات'!$J$4:$J$2003,'العهد والرحلات'!$B$4:$B$2003,$B439))</f>
        <v/>
      </c>
      <c r="G439" s="18">
        <f>IF($B439="","",SUMIFS('الإيصالات'!$C$4:$C$2003,'الإيصالات'!$B$4:$B$2003,$B439))</f>
        <v/>
      </c>
      <c r="H439" s="40" t="n"/>
      <c r="I439" s="18">
        <f>IF($B439="","",N($F439)+N($G439)+N($H439))</f>
        <v/>
      </c>
      <c r="J439" s="18">
        <f>IF($B439="","",N($E439)-N($I439))</f>
        <v/>
      </c>
    </row>
    <row r="440">
      <c r="A440" s="16">
        <f>IF($B440="","",COUNTA($B$4:$B440))</f>
        <v/>
      </c>
      <c r="B440" s="71" t="n"/>
      <c r="C440" s="18">
        <f>IF($B440="","",N($J439))</f>
        <v/>
      </c>
      <c r="D440" s="38" t="n"/>
      <c r="E440" s="18">
        <f>IF($B440="","",N($C440)+N($D440))</f>
        <v/>
      </c>
      <c r="F440" s="18">
        <f>IF($B440="","",SUMIFS('العهد والرحلات'!$J$4:$J$2003,'العهد والرحلات'!$B$4:$B$2003,$B440))</f>
        <v/>
      </c>
      <c r="G440" s="18">
        <f>IF($B440="","",SUMIFS('الإيصالات'!$C$4:$C$2003,'الإيصالات'!$B$4:$B$2003,$B440))</f>
        <v/>
      </c>
      <c r="H440" s="38" t="n"/>
      <c r="I440" s="18">
        <f>IF($B440="","",N($F440)+N($G440)+N($H440))</f>
        <v/>
      </c>
      <c r="J440" s="18">
        <f>IF($B440="","",N($E440)-N($I440))</f>
        <v/>
      </c>
    </row>
    <row r="441">
      <c r="A441" s="16">
        <f>IF($B441="","",COUNTA($B$4:$B441))</f>
        <v/>
      </c>
      <c r="B441" s="72" t="n"/>
      <c r="C441" s="18">
        <f>IF($B441="","",N($J440))</f>
        <v/>
      </c>
      <c r="D441" s="40" t="n"/>
      <c r="E441" s="18">
        <f>IF($B441="","",N($C441)+N($D441))</f>
        <v/>
      </c>
      <c r="F441" s="18">
        <f>IF($B441="","",SUMIFS('العهد والرحلات'!$J$4:$J$2003,'العهد والرحلات'!$B$4:$B$2003,$B441))</f>
        <v/>
      </c>
      <c r="G441" s="18">
        <f>IF($B441="","",SUMIFS('الإيصالات'!$C$4:$C$2003,'الإيصالات'!$B$4:$B$2003,$B441))</f>
        <v/>
      </c>
      <c r="H441" s="40" t="n"/>
      <c r="I441" s="18">
        <f>IF($B441="","",N($F441)+N($G441)+N($H441))</f>
        <v/>
      </c>
      <c r="J441" s="18">
        <f>IF($B441="","",N($E441)-N($I441))</f>
        <v/>
      </c>
    </row>
    <row r="442">
      <c r="A442" s="16">
        <f>IF($B442="","",COUNTA($B$4:$B442))</f>
        <v/>
      </c>
      <c r="B442" s="71" t="n"/>
      <c r="C442" s="18">
        <f>IF($B442="","",N($J441))</f>
        <v/>
      </c>
      <c r="D442" s="38" t="n"/>
      <c r="E442" s="18">
        <f>IF($B442="","",N($C442)+N($D442))</f>
        <v/>
      </c>
      <c r="F442" s="18">
        <f>IF($B442="","",SUMIFS('العهد والرحلات'!$J$4:$J$2003,'العهد والرحلات'!$B$4:$B$2003,$B442))</f>
        <v/>
      </c>
      <c r="G442" s="18">
        <f>IF($B442="","",SUMIFS('الإيصالات'!$C$4:$C$2003,'الإيصالات'!$B$4:$B$2003,$B442))</f>
        <v/>
      </c>
      <c r="H442" s="38" t="n"/>
      <c r="I442" s="18">
        <f>IF($B442="","",N($F442)+N($G442)+N($H442))</f>
        <v/>
      </c>
      <c r="J442" s="18">
        <f>IF($B442="","",N($E442)-N($I442))</f>
        <v/>
      </c>
    </row>
    <row r="443">
      <c r="A443" s="16">
        <f>IF($B443="","",COUNTA($B$4:$B443))</f>
        <v/>
      </c>
      <c r="B443" s="72" t="n"/>
      <c r="C443" s="18">
        <f>IF($B443="","",N($J442))</f>
        <v/>
      </c>
      <c r="D443" s="40" t="n"/>
      <c r="E443" s="18">
        <f>IF($B443="","",N($C443)+N($D443))</f>
        <v/>
      </c>
      <c r="F443" s="18">
        <f>IF($B443="","",SUMIFS('العهد والرحلات'!$J$4:$J$2003,'العهد والرحلات'!$B$4:$B$2003,$B443))</f>
        <v/>
      </c>
      <c r="G443" s="18">
        <f>IF($B443="","",SUMIFS('الإيصالات'!$C$4:$C$2003,'الإيصالات'!$B$4:$B$2003,$B443))</f>
        <v/>
      </c>
      <c r="H443" s="40" t="n"/>
      <c r="I443" s="18">
        <f>IF($B443="","",N($F443)+N($G443)+N($H443))</f>
        <v/>
      </c>
      <c r="J443" s="18">
        <f>IF($B443="","",N($E443)-N($I443))</f>
        <v/>
      </c>
    </row>
    <row r="444">
      <c r="A444" s="16">
        <f>IF($B444="","",COUNTA($B$4:$B444))</f>
        <v/>
      </c>
      <c r="B444" s="71" t="n"/>
      <c r="C444" s="18">
        <f>IF($B444="","",N($J443))</f>
        <v/>
      </c>
      <c r="D444" s="38" t="n"/>
      <c r="E444" s="18">
        <f>IF($B444="","",N($C444)+N($D444))</f>
        <v/>
      </c>
      <c r="F444" s="18">
        <f>IF($B444="","",SUMIFS('العهد والرحلات'!$J$4:$J$2003,'العهد والرحلات'!$B$4:$B$2003,$B444))</f>
        <v/>
      </c>
      <c r="G444" s="18">
        <f>IF($B444="","",SUMIFS('الإيصالات'!$C$4:$C$2003,'الإيصالات'!$B$4:$B$2003,$B444))</f>
        <v/>
      </c>
      <c r="H444" s="38" t="n"/>
      <c r="I444" s="18">
        <f>IF($B444="","",N($F444)+N($G444)+N($H444))</f>
        <v/>
      </c>
      <c r="J444" s="18">
        <f>IF($B444="","",N($E444)-N($I444))</f>
        <v/>
      </c>
    </row>
    <row r="445">
      <c r="A445" s="16">
        <f>IF($B445="","",COUNTA($B$4:$B445))</f>
        <v/>
      </c>
      <c r="B445" s="72" t="n"/>
      <c r="C445" s="18">
        <f>IF($B445="","",N($J444))</f>
        <v/>
      </c>
      <c r="D445" s="40" t="n"/>
      <c r="E445" s="18">
        <f>IF($B445="","",N($C445)+N($D445))</f>
        <v/>
      </c>
      <c r="F445" s="18">
        <f>IF($B445="","",SUMIFS('العهد والرحلات'!$J$4:$J$2003,'العهد والرحلات'!$B$4:$B$2003,$B445))</f>
        <v/>
      </c>
      <c r="G445" s="18">
        <f>IF($B445="","",SUMIFS('الإيصالات'!$C$4:$C$2003,'الإيصالات'!$B$4:$B$2003,$B445))</f>
        <v/>
      </c>
      <c r="H445" s="40" t="n"/>
      <c r="I445" s="18">
        <f>IF($B445="","",N($F445)+N($G445)+N($H445))</f>
        <v/>
      </c>
      <c r="J445" s="18">
        <f>IF($B445="","",N($E445)-N($I445))</f>
        <v/>
      </c>
    </row>
    <row r="446">
      <c r="A446" s="16">
        <f>IF($B446="","",COUNTA($B$4:$B446))</f>
        <v/>
      </c>
      <c r="B446" s="71" t="n"/>
      <c r="C446" s="18">
        <f>IF($B446="","",N($J445))</f>
        <v/>
      </c>
      <c r="D446" s="38" t="n"/>
      <c r="E446" s="18">
        <f>IF($B446="","",N($C446)+N($D446))</f>
        <v/>
      </c>
      <c r="F446" s="18">
        <f>IF($B446="","",SUMIFS('العهد والرحلات'!$J$4:$J$2003,'العهد والرحلات'!$B$4:$B$2003,$B446))</f>
        <v/>
      </c>
      <c r="G446" s="18">
        <f>IF($B446="","",SUMIFS('الإيصالات'!$C$4:$C$2003,'الإيصالات'!$B$4:$B$2003,$B446))</f>
        <v/>
      </c>
      <c r="H446" s="38" t="n"/>
      <c r="I446" s="18">
        <f>IF($B446="","",N($F446)+N($G446)+N($H446))</f>
        <v/>
      </c>
      <c r="J446" s="18">
        <f>IF($B446="","",N($E446)-N($I446))</f>
        <v/>
      </c>
    </row>
    <row r="447">
      <c r="A447" s="16">
        <f>IF($B447="","",COUNTA($B$4:$B447))</f>
        <v/>
      </c>
      <c r="B447" s="72" t="n"/>
      <c r="C447" s="18">
        <f>IF($B447="","",N($J446))</f>
        <v/>
      </c>
      <c r="D447" s="40" t="n"/>
      <c r="E447" s="18">
        <f>IF($B447="","",N($C447)+N($D447))</f>
        <v/>
      </c>
      <c r="F447" s="18">
        <f>IF($B447="","",SUMIFS('العهد والرحلات'!$J$4:$J$2003,'العهد والرحلات'!$B$4:$B$2003,$B447))</f>
        <v/>
      </c>
      <c r="G447" s="18">
        <f>IF($B447="","",SUMIFS('الإيصالات'!$C$4:$C$2003,'الإيصالات'!$B$4:$B$2003,$B447))</f>
        <v/>
      </c>
      <c r="H447" s="40" t="n"/>
      <c r="I447" s="18">
        <f>IF($B447="","",N($F447)+N($G447)+N($H447))</f>
        <v/>
      </c>
      <c r="J447" s="18">
        <f>IF($B447="","",N($E447)-N($I447))</f>
        <v/>
      </c>
    </row>
    <row r="448">
      <c r="A448" s="16">
        <f>IF($B448="","",COUNTA($B$4:$B448))</f>
        <v/>
      </c>
      <c r="B448" s="71" t="n"/>
      <c r="C448" s="18">
        <f>IF($B448="","",N($J447))</f>
        <v/>
      </c>
      <c r="D448" s="38" t="n"/>
      <c r="E448" s="18">
        <f>IF($B448="","",N($C448)+N($D448))</f>
        <v/>
      </c>
      <c r="F448" s="18">
        <f>IF($B448="","",SUMIFS('العهد والرحلات'!$J$4:$J$2003,'العهد والرحلات'!$B$4:$B$2003,$B448))</f>
        <v/>
      </c>
      <c r="G448" s="18">
        <f>IF($B448="","",SUMIFS('الإيصالات'!$C$4:$C$2003,'الإيصالات'!$B$4:$B$2003,$B448))</f>
        <v/>
      </c>
      <c r="H448" s="38" t="n"/>
      <c r="I448" s="18">
        <f>IF($B448="","",N($F448)+N($G448)+N($H448))</f>
        <v/>
      </c>
      <c r="J448" s="18">
        <f>IF($B448="","",N($E448)-N($I448))</f>
        <v/>
      </c>
    </row>
    <row r="449">
      <c r="A449" s="16">
        <f>IF($B449="","",COUNTA($B$4:$B449))</f>
        <v/>
      </c>
      <c r="B449" s="72" t="n"/>
      <c r="C449" s="18">
        <f>IF($B449="","",N($J448))</f>
        <v/>
      </c>
      <c r="D449" s="40" t="n"/>
      <c r="E449" s="18">
        <f>IF($B449="","",N($C449)+N($D449))</f>
        <v/>
      </c>
      <c r="F449" s="18">
        <f>IF($B449="","",SUMIFS('العهد والرحلات'!$J$4:$J$2003,'العهد والرحلات'!$B$4:$B$2003,$B449))</f>
        <v/>
      </c>
      <c r="G449" s="18">
        <f>IF($B449="","",SUMIFS('الإيصالات'!$C$4:$C$2003,'الإيصالات'!$B$4:$B$2003,$B449))</f>
        <v/>
      </c>
      <c r="H449" s="40" t="n"/>
      <c r="I449" s="18">
        <f>IF($B449="","",N($F449)+N($G449)+N($H449))</f>
        <v/>
      </c>
      <c r="J449" s="18">
        <f>IF($B449="","",N($E449)-N($I449))</f>
        <v/>
      </c>
    </row>
    <row r="450">
      <c r="A450" s="16">
        <f>IF($B450="","",COUNTA($B$4:$B450))</f>
        <v/>
      </c>
      <c r="B450" s="71" t="n"/>
      <c r="C450" s="18">
        <f>IF($B450="","",N($J449))</f>
        <v/>
      </c>
      <c r="D450" s="38" t="n"/>
      <c r="E450" s="18">
        <f>IF($B450="","",N($C450)+N($D450))</f>
        <v/>
      </c>
      <c r="F450" s="18">
        <f>IF($B450="","",SUMIFS('العهد والرحلات'!$J$4:$J$2003,'العهد والرحلات'!$B$4:$B$2003,$B450))</f>
        <v/>
      </c>
      <c r="G450" s="18">
        <f>IF($B450="","",SUMIFS('الإيصالات'!$C$4:$C$2003,'الإيصالات'!$B$4:$B$2003,$B450))</f>
        <v/>
      </c>
      <c r="H450" s="38" t="n"/>
      <c r="I450" s="18">
        <f>IF($B450="","",N($F450)+N($G450)+N($H450))</f>
        <v/>
      </c>
      <c r="J450" s="18">
        <f>IF($B450="","",N($E450)-N($I450))</f>
        <v/>
      </c>
    </row>
    <row r="451">
      <c r="A451" s="16">
        <f>IF($B451="","",COUNTA($B$4:$B451))</f>
        <v/>
      </c>
      <c r="B451" s="72" t="n"/>
      <c r="C451" s="18">
        <f>IF($B451="","",N($J450))</f>
        <v/>
      </c>
      <c r="D451" s="40" t="n"/>
      <c r="E451" s="18">
        <f>IF($B451="","",N($C451)+N($D451))</f>
        <v/>
      </c>
      <c r="F451" s="18">
        <f>IF($B451="","",SUMIFS('العهد والرحلات'!$J$4:$J$2003,'العهد والرحلات'!$B$4:$B$2003,$B451))</f>
        <v/>
      </c>
      <c r="G451" s="18">
        <f>IF($B451="","",SUMIFS('الإيصالات'!$C$4:$C$2003,'الإيصالات'!$B$4:$B$2003,$B451))</f>
        <v/>
      </c>
      <c r="H451" s="40" t="n"/>
      <c r="I451" s="18">
        <f>IF($B451="","",N($F451)+N($G451)+N($H451))</f>
        <v/>
      </c>
      <c r="J451" s="18">
        <f>IF($B451="","",N($E451)-N($I451))</f>
        <v/>
      </c>
    </row>
    <row r="452">
      <c r="A452" s="16">
        <f>IF($B452="","",COUNTA($B$4:$B452))</f>
        <v/>
      </c>
      <c r="B452" s="71" t="n"/>
      <c r="C452" s="18">
        <f>IF($B452="","",N($J451))</f>
        <v/>
      </c>
      <c r="D452" s="38" t="n"/>
      <c r="E452" s="18">
        <f>IF($B452="","",N($C452)+N($D452))</f>
        <v/>
      </c>
      <c r="F452" s="18">
        <f>IF($B452="","",SUMIFS('العهد والرحلات'!$J$4:$J$2003,'العهد والرحلات'!$B$4:$B$2003,$B452))</f>
        <v/>
      </c>
      <c r="G452" s="18">
        <f>IF($B452="","",SUMIFS('الإيصالات'!$C$4:$C$2003,'الإيصالات'!$B$4:$B$2003,$B452))</f>
        <v/>
      </c>
      <c r="H452" s="38" t="n"/>
      <c r="I452" s="18">
        <f>IF($B452="","",N($F452)+N($G452)+N($H452))</f>
        <v/>
      </c>
      <c r="J452" s="18">
        <f>IF($B452="","",N($E452)-N($I452))</f>
        <v/>
      </c>
    </row>
    <row r="453">
      <c r="A453" s="16">
        <f>IF($B453="","",COUNTA($B$4:$B453))</f>
        <v/>
      </c>
      <c r="B453" s="72" t="n"/>
      <c r="C453" s="18">
        <f>IF($B453="","",N($J452))</f>
        <v/>
      </c>
      <c r="D453" s="40" t="n"/>
      <c r="E453" s="18">
        <f>IF($B453="","",N($C453)+N($D453))</f>
        <v/>
      </c>
      <c r="F453" s="18">
        <f>IF($B453="","",SUMIFS('العهد والرحلات'!$J$4:$J$2003,'العهد والرحلات'!$B$4:$B$2003,$B453))</f>
        <v/>
      </c>
      <c r="G453" s="18">
        <f>IF($B453="","",SUMIFS('الإيصالات'!$C$4:$C$2003,'الإيصالات'!$B$4:$B$2003,$B453))</f>
        <v/>
      </c>
      <c r="H453" s="40" t="n"/>
      <c r="I453" s="18">
        <f>IF($B453="","",N($F453)+N($G453)+N($H453))</f>
        <v/>
      </c>
      <c r="J453" s="18">
        <f>IF($B453="","",N($E453)-N($I453))</f>
        <v/>
      </c>
    </row>
    <row r="454">
      <c r="A454" s="16">
        <f>IF($B454="","",COUNTA($B$4:$B454))</f>
        <v/>
      </c>
      <c r="B454" s="71" t="n"/>
      <c r="C454" s="18">
        <f>IF($B454="","",N($J453))</f>
        <v/>
      </c>
      <c r="D454" s="38" t="n"/>
      <c r="E454" s="18">
        <f>IF($B454="","",N($C454)+N($D454))</f>
        <v/>
      </c>
      <c r="F454" s="18">
        <f>IF($B454="","",SUMIFS('العهد والرحلات'!$J$4:$J$2003,'العهد والرحلات'!$B$4:$B$2003,$B454))</f>
        <v/>
      </c>
      <c r="G454" s="18">
        <f>IF($B454="","",SUMIFS('الإيصالات'!$C$4:$C$2003,'الإيصالات'!$B$4:$B$2003,$B454))</f>
        <v/>
      </c>
      <c r="H454" s="38" t="n"/>
      <c r="I454" s="18">
        <f>IF($B454="","",N($F454)+N($G454)+N($H454))</f>
        <v/>
      </c>
      <c r="J454" s="18">
        <f>IF($B454="","",N($E454)-N($I454))</f>
        <v/>
      </c>
    </row>
    <row r="455">
      <c r="A455" s="16">
        <f>IF($B455="","",COUNTA($B$4:$B455))</f>
        <v/>
      </c>
      <c r="B455" s="72" t="n"/>
      <c r="C455" s="18">
        <f>IF($B455="","",N($J454))</f>
        <v/>
      </c>
      <c r="D455" s="40" t="n"/>
      <c r="E455" s="18">
        <f>IF($B455="","",N($C455)+N($D455))</f>
        <v/>
      </c>
      <c r="F455" s="18">
        <f>IF($B455="","",SUMIFS('العهد والرحلات'!$J$4:$J$2003,'العهد والرحلات'!$B$4:$B$2003,$B455))</f>
        <v/>
      </c>
      <c r="G455" s="18">
        <f>IF($B455="","",SUMIFS('الإيصالات'!$C$4:$C$2003,'الإيصالات'!$B$4:$B$2003,$B455))</f>
        <v/>
      </c>
      <c r="H455" s="40" t="n"/>
      <c r="I455" s="18">
        <f>IF($B455="","",N($F455)+N($G455)+N($H455))</f>
        <v/>
      </c>
      <c r="J455" s="18">
        <f>IF($B455="","",N($E455)-N($I455))</f>
        <v/>
      </c>
    </row>
    <row r="456">
      <c r="A456" s="16">
        <f>IF($B456="","",COUNTA($B$4:$B456))</f>
        <v/>
      </c>
      <c r="B456" s="71" t="n"/>
      <c r="C456" s="18">
        <f>IF($B456="","",N($J455))</f>
        <v/>
      </c>
      <c r="D456" s="38" t="n"/>
      <c r="E456" s="18">
        <f>IF($B456="","",N($C456)+N($D456))</f>
        <v/>
      </c>
      <c r="F456" s="18">
        <f>IF($B456="","",SUMIFS('العهد والرحلات'!$J$4:$J$2003,'العهد والرحلات'!$B$4:$B$2003,$B456))</f>
        <v/>
      </c>
      <c r="G456" s="18">
        <f>IF($B456="","",SUMIFS('الإيصالات'!$C$4:$C$2003,'الإيصالات'!$B$4:$B$2003,$B456))</f>
        <v/>
      </c>
      <c r="H456" s="38" t="n"/>
      <c r="I456" s="18">
        <f>IF($B456="","",N($F456)+N($G456)+N($H456))</f>
        <v/>
      </c>
      <c r="J456" s="18">
        <f>IF($B456="","",N($E456)-N($I456))</f>
        <v/>
      </c>
    </row>
    <row r="457">
      <c r="A457" s="16">
        <f>IF($B457="","",COUNTA($B$4:$B457))</f>
        <v/>
      </c>
      <c r="B457" s="72" t="n"/>
      <c r="C457" s="18">
        <f>IF($B457="","",N($J456))</f>
        <v/>
      </c>
      <c r="D457" s="40" t="n"/>
      <c r="E457" s="18">
        <f>IF($B457="","",N($C457)+N($D457))</f>
        <v/>
      </c>
      <c r="F457" s="18">
        <f>IF($B457="","",SUMIFS('العهد والرحلات'!$J$4:$J$2003,'العهد والرحلات'!$B$4:$B$2003,$B457))</f>
        <v/>
      </c>
      <c r="G457" s="18">
        <f>IF($B457="","",SUMIFS('الإيصالات'!$C$4:$C$2003,'الإيصالات'!$B$4:$B$2003,$B457))</f>
        <v/>
      </c>
      <c r="H457" s="40" t="n"/>
      <c r="I457" s="18">
        <f>IF($B457="","",N($F457)+N($G457)+N($H457))</f>
        <v/>
      </c>
      <c r="J457" s="18">
        <f>IF($B457="","",N($E457)-N($I457))</f>
        <v/>
      </c>
    </row>
    <row r="458">
      <c r="A458" s="16">
        <f>IF($B458="","",COUNTA($B$4:$B458))</f>
        <v/>
      </c>
      <c r="B458" s="71" t="n"/>
      <c r="C458" s="18">
        <f>IF($B458="","",N($J457))</f>
        <v/>
      </c>
      <c r="D458" s="38" t="n"/>
      <c r="E458" s="18">
        <f>IF($B458="","",N($C458)+N($D458))</f>
        <v/>
      </c>
      <c r="F458" s="18">
        <f>IF($B458="","",SUMIFS('العهد والرحلات'!$J$4:$J$2003,'العهد والرحلات'!$B$4:$B$2003,$B458))</f>
        <v/>
      </c>
      <c r="G458" s="18">
        <f>IF($B458="","",SUMIFS('الإيصالات'!$C$4:$C$2003,'الإيصالات'!$B$4:$B$2003,$B458))</f>
        <v/>
      </c>
      <c r="H458" s="38" t="n"/>
      <c r="I458" s="18">
        <f>IF($B458="","",N($F458)+N($G458)+N($H458))</f>
        <v/>
      </c>
      <c r="J458" s="18">
        <f>IF($B458="","",N($E458)-N($I458))</f>
        <v/>
      </c>
    </row>
    <row r="459">
      <c r="A459" s="16">
        <f>IF($B459="","",COUNTA($B$4:$B459))</f>
        <v/>
      </c>
      <c r="B459" s="72" t="n"/>
      <c r="C459" s="18">
        <f>IF($B459="","",N($J458))</f>
        <v/>
      </c>
      <c r="D459" s="40" t="n"/>
      <c r="E459" s="18">
        <f>IF($B459="","",N($C459)+N($D459))</f>
        <v/>
      </c>
      <c r="F459" s="18">
        <f>IF($B459="","",SUMIFS('العهد والرحلات'!$J$4:$J$2003,'العهد والرحلات'!$B$4:$B$2003,$B459))</f>
        <v/>
      </c>
      <c r="G459" s="18">
        <f>IF($B459="","",SUMIFS('الإيصالات'!$C$4:$C$2003,'الإيصالات'!$B$4:$B$2003,$B459))</f>
        <v/>
      </c>
      <c r="H459" s="40" t="n"/>
      <c r="I459" s="18">
        <f>IF($B459="","",N($F459)+N($G459)+N($H459))</f>
        <v/>
      </c>
      <c r="J459" s="18">
        <f>IF($B459="","",N($E459)-N($I459))</f>
        <v/>
      </c>
    </row>
    <row r="460">
      <c r="A460" s="16">
        <f>IF($B460="","",COUNTA($B$4:$B460))</f>
        <v/>
      </c>
      <c r="B460" s="71" t="n"/>
      <c r="C460" s="18">
        <f>IF($B460="","",N($J459))</f>
        <v/>
      </c>
      <c r="D460" s="38" t="n"/>
      <c r="E460" s="18">
        <f>IF($B460="","",N($C460)+N($D460))</f>
        <v/>
      </c>
      <c r="F460" s="18">
        <f>IF($B460="","",SUMIFS('العهد والرحلات'!$J$4:$J$2003,'العهد والرحلات'!$B$4:$B$2003,$B460))</f>
        <v/>
      </c>
      <c r="G460" s="18">
        <f>IF($B460="","",SUMIFS('الإيصالات'!$C$4:$C$2003,'الإيصالات'!$B$4:$B$2003,$B460))</f>
        <v/>
      </c>
      <c r="H460" s="38" t="n"/>
      <c r="I460" s="18">
        <f>IF($B460="","",N($F460)+N($G460)+N($H460))</f>
        <v/>
      </c>
      <c r="J460" s="18">
        <f>IF($B460="","",N($E460)-N($I460))</f>
        <v/>
      </c>
    </row>
    <row r="461">
      <c r="A461" s="16">
        <f>IF($B461="","",COUNTA($B$4:$B461))</f>
        <v/>
      </c>
      <c r="B461" s="72" t="n"/>
      <c r="C461" s="18">
        <f>IF($B461="","",N($J460))</f>
        <v/>
      </c>
      <c r="D461" s="40" t="n"/>
      <c r="E461" s="18">
        <f>IF($B461="","",N($C461)+N($D461))</f>
        <v/>
      </c>
      <c r="F461" s="18">
        <f>IF($B461="","",SUMIFS('العهد والرحلات'!$J$4:$J$2003,'العهد والرحلات'!$B$4:$B$2003,$B461))</f>
        <v/>
      </c>
      <c r="G461" s="18">
        <f>IF($B461="","",SUMIFS('الإيصالات'!$C$4:$C$2003,'الإيصالات'!$B$4:$B$2003,$B461))</f>
        <v/>
      </c>
      <c r="H461" s="40" t="n"/>
      <c r="I461" s="18">
        <f>IF($B461="","",N($F461)+N($G461)+N($H461))</f>
        <v/>
      </c>
      <c r="J461" s="18">
        <f>IF($B461="","",N($E461)-N($I461))</f>
        <v/>
      </c>
    </row>
    <row r="462">
      <c r="A462" s="16">
        <f>IF($B462="","",COUNTA($B$4:$B462))</f>
        <v/>
      </c>
      <c r="B462" s="71" t="n"/>
      <c r="C462" s="18">
        <f>IF($B462="","",N($J461))</f>
        <v/>
      </c>
      <c r="D462" s="38" t="n"/>
      <c r="E462" s="18">
        <f>IF($B462="","",N($C462)+N($D462))</f>
        <v/>
      </c>
      <c r="F462" s="18">
        <f>IF($B462="","",SUMIFS('العهد والرحلات'!$J$4:$J$2003,'العهد والرحلات'!$B$4:$B$2003,$B462))</f>
        <v/>
      </c>
      <c r="G462" s="18">
        <f>IF($B462="","",SUMIFS('الإيصالات'!$C$4:$C$2003,'الإيصالات'!$B$4:$B$2003,$B462))</f>
        <v/>
      </c>
      <c r="H462" s="38" t="n"/>
      <c r="I462" s="18">
        <f>IF($B462="","",N($F462)+N($G462)+N($H462))</f>
        <v/>
      </c>
      <c r="J462" s="18">
        <f>IF($B462="","",N($E462)-N($I462))</f>
        <v/>
      </c>
    </row>
    <row r="463">
      <c r="A463" s="16">
        <f>IF($B463="","",COUNTA($B$4:$B463))</f>
        <v/>
      </c>
      <c r="B463" s="72" t="n"/>
      <c r="C463" s="18">
        <f>IF($B463="","",N($J462))</f>
        <v/>
      </c>
      <c r="D463" s="40" t="n"/>
      <c r="E463" s="18">
        <f>IF($B463="","",N($C463)+N($D463))</f>
        <v/>
      </c>
      <c r="F463" s="18">
        <f>IF($B463="","",SUMIFS('العهد والرحلات'!$J$4:$J$2003,'العهد والرحلات'!$B$4:$B$2003,$B463))</f>
        <v/>
      </c>
      <c r="G463" s="18">
        <f>IF($B463="","",SUMIFS('الإيصالات'!$C$4:$C$2003,'الإيصالات'!$B$4:$B$2003,$B463))</f>
        <v/>
      </c>
      <c r="H463" s="40" t="n"/>
      <c r="I463" s="18">
        <f>IF($B463="","",N($F463)+N($G463)+N($H463))</f>
        <v/>
      </c>
      <c r="J463" s="18">
        <f>IF($B463="","",N($E463)-N($I463))</f>
        <v/>
      </c>
    </row>
    <row r="464">
      <c r="A464" s="16">
        <f>IF($B464="","",COUNTA($B$4:$B464))</f>
        <v/>
      </c>
      <c r="B464" s="71" t="n"/>
      <c r="C464" s="18">
        <f>IF($B464="","",N($J463))</f>
        <v/>
      </c>
      <c r="D464" s="38" t="n"/>
      <c r="E464" s="18">
        <f>IF($B464="","",N($C464)+N($D464))</f>
        <v/>
      </c>
      <c r="F464" s="18">
        <f>IF($B464="","",SUMIFS('العهد والرحلات'!$J$4:$J$2003,'العهد والرحلات'!$B$4:$B$2003,$B464))</f>
        <v/>
      </c>
      <c r="G464" s="18">
        <f>IF($B464="","",SUMIFS('الإيصالات'!$C$4:$C$2003,'الإيصالات'!$B$4:$B$2003,$B464))</f>
        <v/>
      </c>
      <c r="H464" s="38" t="n"/>
      <c r="I464" s="18">
        <f>IF($B464="","",N($F464)+N($G464)+N($H464))</f>
        <v/>
      </c>
      <c r="J464" s="18">
        <f>IF($B464="","",N($E464)-N($I464))</f>
        <v/>
      </c>
    </row>
    <row r="465">
      <c r="A465" s="16">
        <f>IF($B465="","",COUNTA($B$4:$B465))</f>
        <v/>
      </c>
      <c r="B465" s="72" t="n"/>
      <c r="C465" s="18">
        <f>IF($B465="","",N($J464))</f>
        <v/>
      </c>
      <c r="D465" s="40" t="n"/>
      <c r="E465" s="18">
        <f>IF($B465="","",N($C465)+N($D465))</f>
        <v/>
      </c>
      <c r="F465" s="18">
        <f>IF($B465="","",SUMIFS('العهد والرحلات'!$J$4:$J$2003,'العهد والرحلات'!$B$4:$B$2003,$B465))</f>
        <v/>
      </c>
      <c r="G465" s="18">
        <f>IF($B465="","",SUMIFS('الإيصالات'!$C$4:$C$2003,'الإيصالات'!$B$4:$B$2003,$B465))</f>
        <v/>
      </c>
      <c r="H465" s="40" t="n"/>
      <c r="I465" s="18">
        <f>IF($B465="","",N($F465)+N($G465)+N($H465))</f>
        <v/>
      </c>
      <c r="J465" s="18">
        <f>IF($B465="","",N($E465)-N($I465))</f>
        <v/>
      </c>
    </row>
    <row r="466">
      <c r="A466" s="16">
        <f>IF($B466="","",COUNTA($B$4:$B466))</f>
        <v/>
      </c>
      <c r="B466" s="71" t="n"/>
      <c r="C466" s="18">
        <f>IF($B466="","",N($J465))</f>
        <v/>
      </c>
      <c r="D466" s="38" t="n"/>
      <c r="E466" s="18">
        <f>IF($B466="","",N($C466)+N($D466))</f>
        <v/>
      </c>
      <c r="F466" s="18">
        <f>IF($B466="","",SUMIFS('العهد والرحلات'!$J$4:$J$2003,'العهد والرحلات'!$B$4:$B$2003,$B466))</f>
        <v/>
      </c>
      <c r="G466" s="18">
        <f>IF($B466="","",SUMIFS('الإيصالات'!$C$4:$C$2003,'الإيصالات'!$B$4:$B$2003,$B466))</f>
        <v/>
      </c>
      <c r="H466" s="38" t="n"/>
      <c r="I466" s="18">
        <f>IF($B466="","",N($F466)+N($G466)+N($H466))</f>
        <v/>
      </c>
      <c r="J466" s="18">
        <f>IF($B466="","",N($E466)-N($I466))</f>
        <v/>
      </c>
    </row>
    <row r="467">
      <c r="A467" s="16">
        <f>IF($B467="","",COUNTA($B$4:$B467))</f>
        <v/>
      </c>
      <c r="B467" s="72" t="n"/>
      <c r="C467" s="18">
        <f>IF($B467="","",N($J466))</f>
        <v/>
      </c>
      <c r="D467" s="40" t="n"/>
      <c r="E467" s="18">
        <f>IF($B467="","",N($C467)+N($D467))</f>
        <v/>
      </c>
      <c r="F467" s="18">
        <f>IF($B467="","",SUMIFS('العهد والرحلات'!$J$4:$J$2003,'العهد والرحلات'!$B$4:$B$2003,$B467))</f>
        <v/>
      </c>
      <c r="G467" s="18">
        <f>IF($B467="","",SUMIFS('الإيصالات'!$C$4:$C$2003,'الإيصالات'!$B$4:$B$2003,$B467))</f>
        <v/>
      </c>
      <c r="H467" s="40" t="n"/>
      <c r="I467" s="18">
        <f>IF($B467="","",N($F467)+N($G467)+N($H467))</f>
        <v/>
      </c>
      <c r="J467" s="18">
        <f>IF($B467="","",N($E467)-N($I467))</f>
        <v/>
      </c>
    </row>
    <row r="468">
      <c r="A468" s="16">
        <f>IF($B468="","",COUNTA($B$4:$B468))</f>
        <v/>
      </c>
      <c r="B468" s="71" t="n"/>
      <c r="C468" s="18">
        <f>IF($B468="","",N($J467))</f>
        <v/>
      </c>
      <c r="D468" s="38" t="n"/>
      <c r="E468" s="18">
        <f>IF($B468="","",N($C468)+N($D468))</f>
        <v/>
      </c>
      <c r="F468" s="18">
        <f>IF($B468="","",SUMIFS('العهد والرحلات'!$J$4:$J$2003,'العهد والرحلات'!$B$4:$B$2003,$B468))</f>
        <v/>
      </c>
      <c r="G468" s="18">
        <f>IF($B468="","",SUMIFS('الإيصالات'!$C$4:$C$2003,'الإيصالات'!$B$4:$B$2003,$B468))</f>
        <v/>
      </c>
      <c r="H468" s="38" t="n"/>
      <c r="I468" s="18">
        <f>IF($B468="","",N($F468)+N($G468)+N($H468))</f>
        <v/>
      </c>
      <c r="J468" s="18">
        <f>IF($B468="","",N($E468)-N($I468))</f>
        <v/>
      </c>
    </row>
    <row r="469">
      <c r="A469" s="16">
        <f>IF($B469="","",COUNTA($B$4:$B469))</f>
        <v/>
      </c>
      <c r="B469" s="72" t="n"/>
      <c r="C469" s="18">
        <f>IF($B469="","",N($J468))</f>
        <v/>
      </c>
      <c r="D469" s="40" t="n"/>
      <c r="E469" s="18">
        <f>IF($B469="","",N($C469)+N($D469))</f>
        <v/>
      </c>
      <c r="F469" s="18">
        <f>IF($B469="","",SUMIFS('العهد والرحلات'!$J$4:$J$2003,'العهد والرحلات'!$B$4:$B$2003,$B469))</f>
        <v/>
      </c>
      <c r="G469" s="18">
        <f>IF($B469="","",SUMIFS('الإيصالات'!$C$4:$C$2003,'الإيصالات'!$B$4:$B$2003,$B469))</f>
        <v/>
      </c>
      <c r="H469" s="40" t="n"/>
      <c r="I469" s="18">
        <f>IF($B469="","",N($F469)+N($G469)+N($H469))</f>
        <v/>
      </c>
      <c r="J469" s="18">
        <f>IF($B469="","",N($E469)-N($I469))</f>
        <v/>
      </c>
    </row>
    <row r="470">
      <c r="A470" s="16">
        <f>IF($B470="","",COUNTA($B$4:$B470))</f>
        <v/>
      </c>
      <c r="B470" s="71" t="n"/>
      <c r="C470" s="18">
        <f>IF($B470="","",N($J469))</f>
        <v/>
      </c>
      <c r="D470" s="38" t="n"/>
      <c r="E470" s="18">
        <f>IF($B470="","",N($C470)+N($D470))</f>
        <v/>
      </c>
      <c r="F470" s="18">
        <f>IF($B470="","",SUMIFS('العهد والرحلات'!$J$4:$J$2003,'العهد والرحلات'!$B$4:$B$2003,$B470))</f>
        <v/>
      </c>
      <c r="G470" s="18">
        <f>IF($B470="","",SUMIFS('الإيصالات'!$C$4:$C$2003,'الإيصالات'!$B$4:$B$2003,$B470))</f>
        <v/>
      </c>
      <c r="H470" s="38" t="n"/>
      <c r="I470" s="18">
        <f>IF($B470="","",N($F470)+N($G470)+N($H470))</f>
        <v/>
      </c>
      <c r="J470" s="18">
        <f>IF($B470="","",N($E470)-N($I470))</f>
        <v/>
      </c>
    </row>
    <row r="471">
      <c r="A471" s="16">
        <f>IF($B471="","",COUNTA($B$4:$B471))</f>
        <v/>
      </c>
      <c r="B471" s="72" t="n"/>
      <c r="C471" s="18">
        <f>IF($B471="","",N($J470))</f>
        <v/>
      </c>
      <c r="D471" s="40" t="n"/>
      <c r="E471" s="18">
        <f>IF($B471="","",N($C471)+N($D471))</f>
        <v/>
      </c>
      <c r="F471" s="18">
        <f>IF($B471="","",SUMIFS('العهد والرحلات'!$J$4:$J$2003,'العهد والرحلات'!$B$4:$B$2003,$B471))</f>
        <v/>
      </c>
      <c r="G471" s="18">
        <f>IF($B471="","",SUMIFS('الإيصالات'!$C$4:$C$2003,'الإيصالات'!$B$4:$B$2003,$B471))</f>
        <v/>
      </c>
      <c r="H471" s="40" t="n"/>
      <c r="I471" s="18">
        <f>IF($B471="","",N($F471)+N($G471)+N($H471))</f>
        <v/>
      </c>
      <c r="J471" s="18">
        <f>IF($B471="","",N($E471)-N($I471))</f>
        <v/>
      </c>
    </row>
    <row r="472">
      <c r="A472" s="16">
        <f>IF($B472="","",COUNTA($B$4:$B472))</f>
        <v/>
      </c>
      <c r="B472" s="71" t="n"/>
      <c r="C472" s="18">
        <f>IF($B472="","",N($J471))</f>
        <v/>
      </c>
      <c r="D472" s="38" t="n"/>
      <c r="E472" s="18">
        <f>IF($B472="","",N($C472)+N($D472))</f>
        <v/>
      </c>
      <c r="F472" s="18">
        <f>IF($B472="","",SUMIFS('العهد والرحلات'!$J$4:$J$2003,'العهد والرحلات'!$B$4:$B$2003,$B472))</f>
        <v/>
      </c>
      <c r="G472" s="18">
        <f>IF($B472="","",SUMIFS('الإيصالات'!$C$4:$C$2003,'الإيصالات'!$B$4:$B$2003,$B472))</f>
        <v/>
      </c>
      <c r="H472" s="38" t="n"/>
      <c r="I472" s="18">
        <f>IF($B472="","",N($F472)+N($G472)+N($H472))</f>
        <v/>
      </c>
      <c r="J472" s="18">
        <f>IF($B472="","",N($E472)-N($I472))</f>
        <v/>
      </c>
    </row>
    <row r="473">
      <c r="A473" s="16">
        <f>IF($B473="","",COUNTA($B$4:$B473))</f>
        <v/>
      </c>
      <c r="B473" s="72" t="n"/>
      <c r="C473" s="18">
        <f>IF($B473="","",N($J472))</f>
        <v/>
      </c>
      <c r="D473" s="40" t="n"/>
      <c r="E473" s="18">
        <f>IF($B473="","",N($C473)+N($D473))</f>
        <v/>
      </c>
      <c r="F473" s="18">
        <f>IF($B473="","",SUMIFS('العهد والرحلات'!$J$4:$J$2003,'العهد والرحلات'!$B$4:$B$2003,$B473))</f>
        <v/>
      </c>
      <c r="G473" s="18">
        <f>IF($B473="","",SUMIFS('الإيصالات'!$C$4:$C$2003,'الإيصالات'!$B$4:$B$2003,$B473))</f>
        <v/>
      </c>
      <c r="H473" s="40" t="n"/>
      <c r="I473" s="18">
        <f>IF($B473="","",N($F473)+N($G473)+N($H473))</f>
        <v/>
      </c>
      <c r="J473" s="18">
        <f>IF($B473="","",N($E473)-N($I473))</f>
        <v/>
      </c>
    </row>
    <row r="474">
      <c r="A474" s="16">
        <f>IF($B474="","",COUNTA($B$4:$B474))</f>
        <v/>
      </c>
      <c r="B474" s="71" t="n"/>
      <c r="C474" s="18">
        <f>IF($B474="","",N($J473))</f>
        <v/>
      </c>
      <c r="D474" s="38" t="n"/>
      <c r="E474" s="18">
        <f>IF($B474="","",N($C474)+N($D474))</f>
        <v/>
      </c>
      <c r="F474" s="18">
        <f>IF($B474="","",SUMIFS('العهد والرحلات'!$J$4:$J$2003,'العهد والرحلات'!$B$4:$B$2003,$B474))</f>
        <v/>
      </c>
      <c r="G474" s="18">
        <f>IF($B474="","",SUMIFS('الإيصالات'!$C$4:$C$2003,'الإيصالات'!$B$4:$B$2003,$B474))</f>
        <v/>
      </c>
      <c r="H474" s="38" t="n"/>
      <c r="I474" s="18">
        <f>IF($B474="","",N($F474)+N($G474)+N($H474))</f>
        <v/>
      </c>
      <c r="J474" s="18">
        <f>IF($B474="","",N($E474)-N($I474))</f>
        <v/>
      </c>
    </row>
    <row r="475">
      <c r="A475" s="16">
        <f>IF($B475="","",COUNTA($B$4:$B475))</f>
        <v/>
      </c>
      <c r="B475" s="72" t="n"/>
      <c r="C475" s="18">
        <f>IF($B475="","",N($J474))</f>
        <v/>
      </c>
      <c r="D475" s="40" t="n"/>
      <c r="E475" s="18">
        <f>IF($B475="","",N($C475)+N($D475))</f>
        <v/>
      </c>
      <c r="F475" s="18">
        <f>IF($B475="","",SUMIFS('العهد والرحلات'!$J$4:$J$2003,'العهد والرحلات'!$B$4:$B$2003,$B475))</f>
        <v/>
      </c>
      <c r="G475" s="18">
        <f>IF($B475="","",SUMIFS('الإيصالات'!$C$4:$C$2003,'الإيصالات'!$B$4:$B$2003,$B475))</f>
        <v/>
      </c>
      <c r="H475" s="40" t="n"/>
      <c r="I475" s="18">
        <f>IF($B475="","",N($F475)+N($G475)+N($H475))</f>
        <v/>
      </c>
      <c r="J475" s="18">
        <f>IF($B475="","",N($E475)-N($I475))</f>
        <v/>
      </c>
    </row>
    <row r="476">
      <c r="A476" s="16">
        <f>IF($B476="","",COUNTA($B$4:$B476))</f>
        <v/>
      </c>
      <c r="B476" s="71" t="n"/>
      <c r="C476" s="18">
        <f>IF($B476="","",N($J475))</f>
        <v/>
      </c>
      <c r="D476" s="38" t="n"/>
      <c r="E476" s="18">
        <f>IF($B476="","",N($C476)+N($D476))</f>
        <v/>
      </c>
      <c r="F476" s="18">
        <f>IF($B476="","",SUMIFS('العهد والرحلات'!$J$4:$J$2003,'العهد والرحلات'!$B$4:$B$2003,$B476))</f>
        <v/>
      </c>
      <c r="G476" s="18">
        <f>IF($B476="","",SUMIFS('الإيصالات'!$C$4:$C$2003,'الإيصالات'!$B$4:$B$2003,$B476))</f>
        <v/>
      </c>
      <c r="H476" s="38" t="n"/>
      <c r="I476" s="18">
        <f>IF($B476="","",N($F476)+N($G476)+N($H476))</f>
        <v/>
      </c>
      <c r="J476" s="18">
        <f>IF($B476="","",N($E476)-N($I476))</f>
        <v/>
      </c>
    </row>
    <row r="477">
      <c r="A477" s="16">
        <f>IF($B477="","",COUNTA($B$4:$B477))</f>
        <v/>
      </c>
      <c r="B477" s="72" t="n"/>
      <c r="C477" s="18">
        <f>IF($B477="","",N($J476))</f>
        <v/>
      </c>
      <c r="D477" s="40" t="n"/>
      <c r="E477" s="18">
        <f>IF($B477="","",N($C477)+N($D477))</f>
        <v/>
      </c>
      <c r="F477" s="18">
        <f>IF($B477="","",SUMIFS('العهد والرحلات'!$J$4:$J$2003,'العهد والرحلات'!$B$4:$B$2003,$B477))</f>
        <v/>
      </c>
      <c r="G477" s="18">
        <f>IF($B477="","",SUMIFS('الإيصالات'!$C$4:$C$2003,'الإيصالات'!$B$4:$B$2003,$B477))</f>
        <v/>
      </c>
      <c r="H477" s="40" t="n"/>
      <c r="I477" s="18">
        <f>IF($B477="","",N($F477)+N($G477)+N($H477))</f>
        <v/>
      </c>
      <c r="J477" s="18">
        <f>IF($B477="","",N($E477)-N($I477))</f>
        <v/>
      </c>
    </row>
    <row r="478">
      <c r="A478" s="16">
        <f>IF($B478="","",COUNTA($B$4:$B478))</f>
        <v/>
      </c>
      <c r="B478" s="71" t="n"/>
      <c r="C478" s="18">
        <f>IF($B478="","",N($J477))</f>
        <v/>
      </c>
      <c r="D478" s="38" t="n"/>
      <c r="E478" s="18">
        <f>IF($B478="","",N($C478)+N($D478))</f>
        <v/>
      </c>
      <c r="F478" s="18">
        <f>IF($B478="","",SUMIFS('العهد والرحلات'!$J$4:$J$2003,'العهد والرحلات'!$B$4:$B$2003,$B478))</f>
        <v/>
      </c>
      <c r="G478" s="18">
        <f>IF($B478="","",SUMIFS('الإيصالات'!$C$4:$C$2003,'الإيصالات'!$B$4:$B$2003,$B478))</f>
        <v/>
      </c>
      <c r="H478" s="38" t="n"/>
      <c r="I478" s="18">
        <f>IF($B478="","",N($F478)+N($G478)+N($H478))</f>
        <v/>
      </c>
      <c r="J478" s="18">
        <f>IF($B478="","",N($E478)-N($I478))</f>
        <v/>
      </c>
    </row>
    <row r="479">
      <c r="A479" s="16">
        <f>IF($B479="","",COUNTA($B$4:$B479))</f>
        <v/>
      </c>
      <c r="B479" s="72" t="n"/>
      <c r="C479" s="18">
        <f>IF($B479="","",N($J478))</f>
        <v/>
      </c>
      <c r="D479" s="40" t="n"/>
      <c r="E479" s="18">
        <f>IF($B479="","",N($C479)+N($D479))</f>
        <v/>
      </c>
      <c r="F479" s="18">
        <f>IF($B479="","",SUMIFS('العهد والرحلات'!$J$4:$J$2003,'العهد والرحلات'!$B$4:$B$2003,$B479))</f>
        <v/>
      </c>
      <c r="G479" s="18">
        <f>IF($B479="","",SUMIFS('الإيصالات'!$C$4:$C$2003,'الإيصالات'!$B$4:$B$2003,$B479))</f>
        <v/>
      </c>
      <c r="H479" s="40" t="n"/>
      <c r="I479" s="18">
        <f>IF($B479="","",N($F479)+N($G479)+N($H479))</f>
        <v/>
      </c>
      <c r="J479" s="18">
        <f>IF($B479="","",N($E479)-N($I479))</f>
        <v/>
      </c>
    </row>
    <row r="480">
      <c r="A480" s="16">
        <f>IF($B480="","",COUNTA($B$4:$B480))</f>
        <v/>
      </c>
      <c r="B480" s="71" t="n"/>
      <c r="C480" s="18">
        <f>IF($B480="","",N($J479))</f>
        <v/>
      </c>
      <c r="D480" s="38" t="n"/>
      <c r="E480" s="18">
        <f>IF($B480="","",N($C480)+N($D480))</f>
        <v/>
      </c>
      <c r="F480" s="18">
        <f>IF($B480="","",SUMIFS('العهد والرحلات'!$J$4:$J$2003,'العهد والرحلات'!$B$4:$B$2003,$B480))</f>
        <v/>
      </c>
      <c r="G480" s="18">
        <f>IF($B480="","",SUMIFS('الإيصالات'!$C$4:$C$2003,'الإيصالات'!$B$4:$B$2003,$B480))</f>
        <v/>
      </c>
      <c r="H480" s="38" t="n"/>
      <c r="I480" s="18">
        <f>IF($B480="","",N($F480)+N($G480)+N($H480))</f>
        <v/>
      </c>
      <c r="J480" s="18">
        <f>IF($B480="","",N($E480)-N($I480))</f>
        <v/>
      </c>
    </row>
    <row r="481">
      <c r="A481" s="16">
        <f>IF($B481="","",COUNTA($B$4:$B481))</f>
        <v/>
      </c>
      <c r="B481" s="72" t="n"/>
      <c r="C481" s="18">
        <f>IF($B481="","",N($J480))</f>
        <v/>
      </c>
      <c r="D481" s="40" t="n"/>
      <c r="E481" s="18">
        <f>IF($B481="","",N($C481)+N($D481))</f>
        <v/>
      </c>
      <c r="F481" s="18">
        <f>IF($B481="","",SUMIFS('العهد والرحلات'!$J$4:$J$2003,'العهد والرحلات'!$B$4:$B$2003,$B481))</f>
        <v/>
      </c>
      <c r="G481" s="18">
        <f>IF($B481="","",SUMIFS('الإيصالات'!$C$4:$C$2003,'الإيصالات'!$B$4:$B$2003,$B481))</f>
        <v/>
      </c>
      <c r="H481" s="40" t="n"/>
      <c r="I481" s="18">
        <f>IF($B481="","",N($F481)+N($G481)+N($H481))</f>
        <v/>
      </c>
      <c r="J481" s="18">
        <f>IF($B481="","",N($E481)-N($I481))</f>
        <v/>
      </c>
    </row>
    <row r="482">
      <c r="A482" s="16">
        <f>IF($B482="","",COUNTA($B$4:$B482))</f>
        <v/>
      </c>
      <c r="B482" s="71" t="n"/>
      <c r="C482" s="18">
        <f>IF($B482="","",N($J481))</f>
        <v/>
      </c>
      <c r="D482" s="38" t="n"/>
      <c r="E482" s="18">
        <f>IF($B482="","",N($C482)+N($D482))</f>
        <v/>
      </c>
      <c r="F482" s="18">
        <f>IF($B482="","",SUMIFS('العهد والرحلات'!$J$4:$J$2003,'العهد والرحلات'!$B$4:$B$2003,$B482))</f>
        <v/>
      </c>
      <c r="G482" s="18">
        <f>IF($B482="","",SUMIFS('الإيصالات'!$C$4:$C$2003,'الإيصالات'!$B$4:$B$2003,$B482))</f>
        <v/>
      </c>
      <c r="H482" s="38" t="n"/>
      <c r="I482" s="18">
        <f>IF($B482="","",N($F482)+N($G482)+N($H482))</f>
        <v/>
      </c>
      <c r="J482" s="18">
        <f>IF($B482="","",N($E482)-N($I482))</f>
        <v/>
      </c>
    </row>
    <row r="483">
      <c r="A483" s="16">
        <f>IF($B483="","",COUNTA($B$4:$B483))</f>
        <v/>
      </c>
      <c r="B483" s="72" t="n"/>
      <c r="C483" s="18">
        <f>IF($B483="","",N($J482))</f>
        <v/>
      </c>
      <c r="D483" s="40" t="n"/>
      <c r="E483" s="18">
        <f>IF($B483="","",N($C483)+N($D483))</f>
        <v/>
      </c>
      <c r="F483" s="18">
        <f>IF($B483="","",SUMIFS('العهد والرحلات'!$J$4:$J$2003,'العهد والرحلات'!$B$4:$B$2003,$B483))</f>
        <v/>
      </c>
      <c r="G483" s="18">
        <f>IF($B483="","",SUMIFS('الإيصالات'!$C$4:$C$2003,'الإيصالات'!$B$4:$B$2003,$B483))</f>
        <v/>
      </c>
      <c r="H483" s="40" t="n"/>
      <c r="I483" s="18">
        <f>IF($B483="","",N($F483)+N($G483)+N($H483))</f>
        <v/>
      </c>
      <c r="J483" s="18">
        <f>IF($B483="","",N($E483)-N($I483))</f>
        <v/>
      </c>
    </row>
    <row r="484">
      <c r="A484" s="16">
        <f>IF($B484="","",COUNTA($B$4:$B484))</f>
        <v/>
      </c>
      <c r="B484" s="71" t="n"/>
      <c r="C484" s="18">
        <f>IF($B484="","",N($J483))</f>
        <v/>
      </c>
      <c r="D484" s="38" t="n"/>
      <c r="E484" s="18">
        <f>IF($B484="","",N($C484)+N($D484))</f>
        <v/>
      </c>
      <c r="F484" s="18">
        <f>IF($B484="","",SUMIFS('العهد والرحلات'!$J$4:$J$2003,'العهد والرحلات'!$B$4:$B$2003,$B484))</f>
        <v/>
      </c>
      <c r="G484" s="18">
        <f>IF($B484="","",SUMIFS('الإيصالات'!$C$4:$C$2003,'الإيصالات'!$B$4:$B$2003,$B484))</f>
        <v/>
      </c>
      <c r="H484" s="38" t="n"/>
      <c r="I484" s="18">
        <f>IF($B484="","",N($F484)+N($G484)+N($H484))</f>
        <v/>
      </c>
      <c r="J484" s="18">
        <f>IF($B484="","",N($E484)-N($I484))</f>
        <v/>
      </c>
    </row>
    <row r="485">
      <c r="A485" s="16">
        <f>IF($B485="","",COUNTA($B$4:$B485))</f>
        <v/>
      </c>
      <c r="B485" s="72" t="n"/>
      <c r="C485" s="18">
        <f>IF($B485="","",N($J484))</f>
        <v/>
      </c>
      <c r="D485" s="40" t="n"/>
      <c r="E485" s="18">
        <f>IF($B485="","",N($C485)+N($D485))</f>
        <v/>
      </c>
      <c r="F485" s="18">
        <f>IF($B485="","",SUMIFS('العهد والرحلات'!$J$4:$J$2003,'العهد والرحلات'!$B$4:$B$2003,$B485))</f>
        <v/>
      </c>
      <c r="G485" s="18">
        <f>IF($B485="","",SUMIFS('الإيصالات'!$C$4:$C$2003,'الإيصالات'!$B$4:$B$2003,$B485))</f>
        <v/>
      </c>
      <c r="H485" s="40" t="n"/>
      <c r="I485" s="18">
        <f>IF($B485="","",N($F485)+N($G485)+N($H485))</f>
        <v/>
      </c>
      <c r="J485" s="18">
        <f>IF($B485="","",N($E485)-N($I485))</f>
        <v/>
      </c>
    </row>
    <row r="486">
      <c r="A486" s="16">
        <f>IF($B486="","",COUNTA($B$4:$B486))</f>
        <v/>
      </c>
      <c r="B486" s="71" t="n"/>
      <c r="C486" s="18">
        <f>IF($B486="","",N($J485))</f>
        <v/>
      </c>
      <c r="D486" s="38" t="n"/>
      <c r="E486" s="18">
        <f>IF($B486="","",N($C486)+N($D486))</f>
        <v/>
      </c>
      <c r="F486" s="18">
        <f>IF($B486="","",SUMIFS('العهد والرحلات'!$J$4:$J$2003,'العهد والرحلات'!$B$4:$B$2003,$B486))</f>
        <v/>
      </c>
      <c r="G486" s="18">
        <f>IF($B486="","",SUMIFS('الإيصالات'!$C$4:$C$2003,'الإيصالات'!$B$4:$B$2003,$B486))</f>
        <v/>
      </c>
      <c r="H486" s="38" t="n"/>
      <c r="I486" s="18">
        <f>IF($B486="","",N($F486)+N($G486)+N($H486))</f>
        <v/>
      </c>
      <c r="J486" s="18">
        <f>IF($B486="","",N($E486)-N($I486))</f>
        <v/>
      </c>
    </row>
    <row r="487">
      <c r="A487" s="16">
        <f>IF($B487="","",COUNTA($B$4:$B487))</f>
        <v/>
      </c>
      <c r="B487" s="72" t="n"/>
      <c r="C487" s="18">
        <f>IF($B487="","",N($J486))</f>
        <v/>
      </c>
      <c r="D487" s="40" t="n"/>
      <c r="E487" s="18">
        <f>IF($B487="","",N($C487)+N($D487))</f>
        <v/>
      </c>
      <c r="F487" s="18">
        <f>IF($B487="","",SUMIFS('العهد والرحلات'!$J$4:$J$2003,'العهد والرحلات'!$B$4:$B$2003,$B487))</f>
        <v/>
      </c>
      <c r="G487" s="18">
        <f>IF($B487="","",SUMIFS('الإيصالات'!$C$4:$C$2003,'الإيصالات'!$B$4:$B$2003,$B487))</f>
        <v/>
      </c>
      <c r="H487" s="40" t="n"/>
      <c r="I487" s="18">
        <f>IF($B487="","",N($F487)+N($G487)+N($H487))</f>
        <v/>
      </c>
      <c r="J487" s="18">
        <f>IF($B487="","",N($E487)-N($I487))</f>
        <v/>
      </c>
    </row>
    <row r="488">
      <c r="A488" s="16">
        <f>IF($B488="","",COUNTA($B$4:$B488))</f>
        <v/>
      </c>
      <c r="B488" s="71" t="n"/>
      <c r="C488" s="18">
        <f>IF($B488="","",N($J487))</f>
        <v/>
      </c>
      <c r="D488" s="38" t="n"/>
      <c r="E488" s="18">
        <f>IF($B488="","",N($C488)+N($D488))</f>
        <v/>
      </c>
      <c r="F488" s="18">
        <f>IF($B488="","",SUMIFS('العهد والرحلات'!$J$4:$J$2003,'العهد والرحلات'!$B$4:$B$2003,$B488))</f>
        <v/>
      </c>
      <c r="G488" s="18">
        <f>IF($B488="","",SUMIFS('الإيصالات'!$C$4:$C$2003,'الإيصالات'!$B$4:$B$2003,$B488))</f>
        <v/>
      </c>
      <c r="H488" s="38" t="n"/>
      <c r="I488" s="18">
        <f>IF($B488="","",N($F488)+N($G488)+N($H488))</f>
        <v/>
      </c>
      <c r="J488" s="18">
        <f>IF($B488="","",N($E488)-N($I488))</f>
        <v/>
      </c>
    </row>
    <row r="489">
      <c r="A489" s="16">
        <f>IF($B489="","",COUNTA($B$4:$B489))</f>
        <v/>
      </c>
      <c r="B489" s="72" t="n"/>
      <c r="C489" s="18">
        <f>IF($B489="","",N($J488))</f>
        <v/>
      </c>
      <c r="D489" s="40" t="n"/>
      <c r="E489" s="18">
        <f>IF($B489="","",N($C489)+N($D489))</f>
        <v/>
      </c>
      <c r="F489" s="18">
        <f>IF($B489="","",SUMIFS('العهد والرحلات'!$J$4:$J$2003,'العهد والرحلات'!$B$4:$B$2003,$B489))</f>
        <v/>
      </c>
      <c r="G489" s="18">
        <f>IF($B489="","",SUMIFS('الإيصالات'!$C$4:$C$2003,'الإيصالات'!$B$4:$B$2003,$B489))</f>
        <v/>
      </c>
      <c r="H489" s="40" t="n"/>
      <c r="I489" s="18">
        <f>IF($B489="","",N($F489)+N($G489)+N($H489))</f>
        <v/>
      </c>
      <c r="J489" s="18">
        <f>IF($B489="","",N($E489)-N($I489))</f>
        <v/>
      </c>
    </row>
    <row r="490">
      <c r="A490" s="16">
        <f>IF($B490="","",COUNTA($B$4:$B490))</f>
        <v/>
      </c>
      <c r="B490" s="71" t="n"/>
      <c r="C490" s="18">
        <f>IF($B490="","",N($J489))</f>
        <v/>
      </c>
      <c r="D490" s="38" t="n"/>
      <c r="E490" s="18">
        <f>IF($B490="","",N($C490)+N($D490))</f>
        <v/>
      </c>
      <c r="F490" s="18">
        <f>IF($B490="","",SUMIFS('العهد والرحلات'!$J$4:$J$2003,'العهد والرحلات'!$B$4:$B$2003,$B490))</f>
        <v/>
      </c>
      <c r="G490" s="18">
        <f>IF($B490="","",SUMIFS('الإيصالات'!$C$4:$C$2003,'الإيصالات'!$B$4:$B$2003,$B490))</f>
        <v/>
      </c>
      <c r="H490" s="38" t="n"/>
      <c r="I490" s="18">
        <f>IF($B490="","",N($F490)+N($G490)+N($H490))</f>
        <v/>
      </c>
      <c r="J490" s="18">
        <f>IF($B490="","",N($E490)-N($I490))</f>
        <v/>
      </c>
    </row>
    <row r="491">
      <c r="A491" s="16">
        <f>IF($B491="","",COUNTA($B$4:$B491))</f>
        <v/>
      </c>
      <c r="B491" s="72" t="n"/>
      <c r="C491" s="18">
        <f>IF($B491="","",N($J490))</f>
        <v/>
      </c>
      <c r="D491" s="40" t="n"/>
      <c r="E491" s="18">
        <f>IF($B491="","",N($C491)+N($D491))</f>
        <v/>
      </c>
      <c r="F491" s="18">
        <f>IF($B491="","",SUMIFS('العهد والرحلات'!$J$4:$J$2003,'العهد والرحلات'!$B$4:$B$2003,$B491))</f>
        <v/>
      </c>
      <c r="G491" s="18">
        <f>IF($B491="","",SUMIFS('الإيصالات'!$C$4:$C$2003,'الإيصالات'!$B$4:$B$2003,$B491))</f>
        <v/>
      </c>
      <c r="H491" s="40" t="n"/>
      <c r="I491" s="18">
        <f>IF($B491="","",N($F491)+N($G491)+N($H491))</f>
        <v/>
      </c>
      <c r="J491" s="18">
        <f>IF($B491="","",N($E491)-N($I491))</f>
        <v/>
      </c>
    </row>
    <row r="492">
      <c r="A492" s="16">
        <f>IF($B492="","",COUNTA($B$4:$B492))</f>
        <v/>
      </c>
      <c r="B492" s="71" t="n"/>
      <c r="C492" s="18">
        <f>IF($B492="","",N($J491))</f>
        <v/>
      </c>
      <c r="D492" s="38" t="n"/>
      <c r="E492" s="18">
        <f>IF($B492="","",N($C492)+N($D492))</f>
        <v/>
      </c>
      <c r="F492" s="18">
        <f>IF($B492="","",SUMIFS('العهد والرحلات'!$J$4:$J$2003,'العهد والرحلات'!$B$4:$B$2003,$B492))</f>
        <v/>
      </c>
      <c r="G492" s="18">
        <f>IF($B492="","",SUMIFS('الإيصالات'!$C$4:$C$2003,'الإيصالات'!$B$4:$B$2003,$B492))</f>
        <v/>
      </c>
      <c r="H492" s="38" t="n"/>
      <c r="I492" s="18">
        <f>IF($B492="","",N($F492)+N($G492)+N($H492))</f>
        <v/>
      </c>
      <c r="J492" s="18">
        <f>IF($B492="","",N($E492)-N($I492))</f>
        <v/>
      </c>
    </row>
    <row r="493">
      <c r="A493" s="16">
        <f>IF($B493="","",COUNTA($B$4:$B493))</f>
        <v/>
      </c>
      <c r="B493" s="72" t="n"/>
      <c r="C493" s="18">
        <f>IF($B493="","",N($J492))</f>
        <v/>
      </c>
      <c r="D493" s="40" t="n"/>
      <c r="E493" s="18">
        <f>IF($B493="","",N($C493)+N($D493))</f>
        <v/>
      </c>
      <c r="F493" s="18">
        <f>IF($B493="","",SUMIFS('العهد والرحلات'!$J$4:$J$2003,'العهد والرحلات'!$B$4:$B$2003,$B493))</f>
        <v/>
      </c>
      <c r="G493" s="18">
        <f>IF($B493="","",SUMIFS('الإيصالات'!$C$4:$C$2003,'الإيصالات'!$B$4:$B$2003,$B493))</f>
        <v/>
      </c>
      <c r="H493" s="40" t="n"/>
      <c r="I493" s="18">
        <f>IF($B493="","",N($F493)+N($G493)+N($H493))</f>
        <v/>
      </c>
      <c r="J493" s="18">
        <f>IF($B493="","",N($E493)-N($I493))</f>
        <v/>
      </c>
    </row>
    <row r="494">
      <c r="A494" s="16">
        <f>IF($B494="","",COUNTA($B$4:$B494))</f>
        <v/>
      </c>
      <c r="B494" s="71" t="n"/>
      <c r="C494" s="18">
        <f>IF($B494="","",N($J493))</f>
        <v/>
      </c>
      <c r="D494" s="38" t="n"/>
      <c r="E494" s="18">
        <f>IF($B494="","",N($C494)+N($D494))</f>
        <v/>
      </c>
      <c r="F494" s="18">
        <f>IF($B494="","",SUMIFS('العهد والرحلات'!$J$4:$J$2003,'العهد والرحلات'!$B$4:$B$2003,$B494))</f>
        <v/>
      </c>
      <c r="G494" s="18">
        <f>IF($B494="","",SUMIFS('الإيصالات'!$C$4:$C$2003,'الإيصالات'!$B$4:$B$2003,$B494))</f>
        <v/>
      </c>
      <c r="H494" s="38" t="n"/>
      <c r="I494" s="18">
        <f>IF($B494="","",N($F494)+N($G494)+N($H494))</f>
        <v/>
      </c>
      <c r="J494" s="18">
        <f>IF($B494="","",N($E494)-N($I494))</f>
        <v/>
      </c>
    </row>
    <row r="495">
      <c r="A495" s="16">
        <f>IF($B495="","",COUNTA($B$4:$B495))</f>
        <v/>
      </c>
      <c r="B495" s="72" t="n"/>
      <c r="C495" s="18">
        <f>IF($B495="","",N($J494))</f>
        <v/>
      </c>
      <c r="D495" s="40" t="n"/>
      <c r="E495" s="18">
        <f>IF($B495="","",N($C495)+N($D495))</f>
        <v/>
      </c>
      <c r="F495" s="18">
        <f>IF($B495="","",SUMIFS('العهد والرحلات'!$J$4:$J$2003,'العهد والرحلات'!$B$4:$B$2003,$B495))</f>
        <v/>
      </c>
      <c r="G495" s="18">
        <f>IF($B495="","",SUMIFS('الإيصالات'!$C$4:$C$2003,'الإيصالات'!$B$4:$B$2003,$B495))</f>
        <v/>
      </c>
      <c r="H495" s="40" t="n"/>
      <c r="I495" s="18">
        <f>IF($B495="","",N($F495)+N($G495)+N($H495))</f>
        <v/>
      </c>
      <c r="J495" s="18">
        <f>IF($B495="","",N($E495)-N($I495))</f>
        <v/>
      </c>
    </row>
    <row r="496">
      <c r="A496" s="16">
        <f>IF($B496="","",COUNTA($B$4:$B496))</f>
        <v/>
      </c>
      <c r="B496" s="71" t="n"/>
      <c r="C496" s="18">
        <f>IF($B496="","",N($J495))</f>
        <v/>
      </c>
      <c r="D496" s="38" t="n"/>
      <c r="E496" s="18">
        <f>IF($B496="","",N($C496)+N($D496))</f>
        <v/>
      </c>
      <c r="F496" s="18">
        <f>IF($B496="","",SUMIFS('العهد والرحلات'!$J$4:$J$2003,'العهد والرحلات'!$B$4:$B$2003,$B496))</f>
        <v/>
      </c>
      <c r="G496" s="18">
        <f>IF($B496="","",SUMIFS('الإيصالات'!$C$4:$C$2003,'الإيصالات'!$B$4:$B$2003,$B496))</f>
        <v/>
      </c>
      <c r="H496" s="38" t="n"/>
      <c r="I496" s="18">
        <f>IF($B496="","",N($F496)+N($G496)+N($H496))</f>
        <v/>
      </c>
      <c r="J496" s="18">
        <f>IF($B496="","",N($E496)-N($I496))</f>
        <v/>
      </c>
    </row>
    <row r="497">
      <c r="A497" s="16">
        <f>IF($B497="","",COUNTA($B$4:$B497))</f>
        <v/>
      </c>
      <c r="B497" s="72" t="n"/>
      <c r="C497" s="18">
        <f>IF($B497="","",N($J496))</f>
        <v/>
      </c>
      <c r="D497" s="40" t="n"/>
      <c r="E497" s="18">
        <f>IF($B497="","",N($C497)+N($D497))</f>
        <v/>
      </c>
      <c r="F497" s="18">
        <f>IF($B497="","",SUMIFS('العهد والرحلات'!$J$4:$J$2003,'العهد والرحلات'!$B$4:$B$2003,$B497))</f>
        <v/>
      </c>
      <c r="G497" s="18">
        <f>IF($B497="","",SUMIFS('الإيصالات'!$C$4:$C$2003,'الإيصالات'!$B$4:$B$2003,$B497))</f>
        <v/>
      </c>
      <c r="H497" s="40" t="n"/>
      <c r="I497" s="18">
        <f>IF($B497="","",N($F497)+N($G497)+N($H497))</f>
        <v/>
      </c>
      <c r="J497" s="18">
        <f>IF($B497="","",N($E497)-N($I497))</f>
        <v/>
      </c>
    </row>
    <row r="498">
      <c r="A498" s="16">
        <f>IF($B498="","",COUNTA($B$4:$B498))</f>
        <v/>
      </c>
      <c r="B498" s="71" t="n"/>
      <c r="C498" s="18">
        <f>IF($B498="","",N($J497))</f>
        <v/>
      </c>
      <c r="D498" s="38" t="n"/>
      <c r="E498" s="18">
        <f>IF($B498="","",N($C498)+N($D498))</f>
        <v/>
      </c>
      <c r="F498" s="18">
        <f>IF($B498="","",SUMIFS('العهد والرحلات'!$J$4:$J$2003,'العهد والرحلات'!$B$4:$B$2003,$B498))</f>
        <v/>
      </c>
      <c r="G498" s="18">
        <f>IF($B498="","",SUMIFS('الإيصالات'!$C$4:$C$2003,'الإيصالات'!$B$4:$B$2003,$B498))</f>
        <v/>
      </c>
      <c r="H498" s="38" t="n"/>
      <c r="I498" s="18">
        <f>IF($B498="","",N($F498)+N($G498)+N($H498))</f>
        <v/>
      </c>
      <c r="J498" s="18">
        <f>IF($B498="","",N($E498)-N($I498))</f>
        <v/>
      </c>
    </row>
    <row r="499">
      <c r="A499" s="16">
        <f>IF($B499="","",COUNTA($B$4:$B499))</f>
        <v/>
      </c>
      <c r="B499" s="72" t="n"/>
      <c r="C499" s="18">
        <f>IF($B499="","",N($J498))</f>
        <v/>
      </c>
      <c r="D499" s="40" t="n"/>
      <c r="E499" s="18">
        <f>IF($B499="","",N($C499)+N($D499))</f>
        <v/>
      </c>
      <c r="F499" s="18">
        <f>IF($B499="","",SUMIFS('العهد والرحلات'!$J$4:$J$2003,'العهد والرحلات'!$B$4:$B$2003,$B499))</f>
        <v/>
      </c>
      <c r="G499" s="18">
        <f>IF($B499="","",SUMIFS('الإيصالات'!$C$4:$C$2003,'الإيصالات'!$B$4:$B$2003,$B499))</f>
        <v/>
      </c>
      <c r="H499" s="40" t="n"/>
      <c r="I499" s="18">
        <f>IF($B499="","",N($F499)+N($G499)+N($H499))</f>
        <v/>
      </c>
      <c r="J499" s="18">
        <f>IF($B499="","",N($E499)-N($I499))</f>
        <v/>
      </c>
    </row>
    <row r="500">
      <c r="A500" s="16">
        <f>IF($B500="","",COUNTA($B$4:$B500))</f>
        <v/>
      </c>
      <c r="B500" s="71" t="n"/>
      <c r="C500" s="18">
        <f>IF($B500="","",N($J499))</f>
        <v/>
      </c>
      <c r="D500" s="38" t="n"/>
      <c r="E500" s="18">
        <f>IF($B500="","",N($C500)+N($D500))</f>
        <v/>
      </c>
      <c r="F500" s="18">
        <f>IF($B500="","",SUMIFS('العهد والرحلات'!$J$4:$J$2003,'العهد والرحلات'!$B$4:$B$2003,$B500))</f>
        <v/>
      </c>
      <c r="G500" s="18">
        <f>IF($B500="","",SUMIFS('الإيصالات'!$C$4:$C$2003,'الإيصالات'!$B$4:$B$2003,$B500))</f>
        <v/>
      </c>
      <c r="H500" s="38" t="n"/>
      <c r="I500" s="18">
        <f>IF($B500="","",N($F500)+N($G500)+N($H500))</f>
        <v/>
      </c>
      <c r="J500" s="18">
        <f>IF($B500="","",N($E500)-N($I500))</f>
        <v/>
      </c>
    </row>
    <row r="501">
      <c r="A501" s="16">
        <f>IF($B501="","",COUNTA($B$4:$B501))</f>
        <v/>
      </c>
      <c r="B501" s="72" t="n"/>
      <c r="C501" s="18">
        <f>IF($B501="","",N($J500))</f>
        <v/>
      </c>
      <c r="D501" s="40" t="n"/>
      <c r="E501" s="18">
        <f>IF($B501="","",N($C501)+N($D501))</f>
        <v/>
      </c>
      <c r="F501" s="18">
        <f>IF($B501="","",SUMIFS('العهد والرحلات'!$J$4:$J$2003,'العهد والرحلات'!$B$4:$B$2003,$B501))</f>
        <v/>
      </c>
      <c r="G501" s="18">
        <f>IF($B501="","",SUMIFS('الإيصالات'!$C$4:$C$2003,'الإيصالات'!$B$4:$B$2003,$B501))</f>
        <v/>
      </c>
      <c r="H501" s="40" t="n"/>
      <c r="I501" s="18">
        <f>IF($B501="","",N($F501)+N($G501)+N($H501))</f>
        <v/>
      </c>
      <c r="J501" s="18">
        <f>IF($B501="","",N($E501)-N($I501))</f>
        <v/>
      </c>
    </row>
    <row r="502">
      <c r="A502" s="16">
        <f>IF($B502="","",COUNTA($B$4:$B502))</f>
        <v/>
      </c>
      <c r="B502" s="71" t="n"/>
      <c r="C502" s="18">
        <f>IF($B502="","",N($J501))</f>
        <v/>
      </c>
      <c r="D502" s="38" t="n"/>
      <c r="E502" s="18">
        <f>IF($B502="","",N($C502)+N($D502))</f>
        <v/>
      </c>
      <c r="F502" s="18">
        <f>IF($B502="","",SUMIFS('العهد والرحلات'!$J$4:$J$2003,'العهد والرحلات'!$B$4:$B$2003,$B502))</f>
        <v/>
      </c>
      <c r="G502" s="18">
        <f>IF($B502="","",SUMIFS('الإيصالات'!$C$4:$C$2003,'الإيصالات'!$B$4:$B$2003,$B502))</f>
        <v/>
      </c>
      <c r="H502" s="38" t="n"/>
      <c r="I502" s="18">
        <f>IF($B502="","",N($F502)+N($G502)+N($H502))</f>
        <v/>
      </c>
      <c r="J502" s="18">
        <f>IF($B502="","",N($E502)-N($I502))</f>
        <v/>
      </c>
    </row>
    <row r="503">
      <c r="A503" s="16">
        <f>IF($B503="","",COUNTA($B$4:$B503))</f>
        <v/>
      </c>
      <c r="B503" s="72" t="n"/>
      <c r="C503" s="18">
        <f>IF($B503="","",N($J502))</f>
        <v/>
      </c>
      <c r="D503" s="40" t="n"/>
      <c r="E503" s="18">
        <f>IF($B503="","",N($C503)+N($D503))</f>
        <v/>
      </c>
      <c r="F503" s="18">
        <f>IF($B503="","",SUMIFS('العهد والرحلات'!$J$4:$J$2003,'العهد والرحلات'!$B$4:$B$2003,$B503))</f>
        <v/>
      </c>
      <c r="G503" s="18">
        <f>IF($B503="","",SUMIFS('الإيصالات'!$C$4:$C$2003,'الإيصالات'!$B$4:$B$2003,$B503))</f>
        <v/>
      </c>
      <c r="H503" s="40" t="n"/>
      <c r="I503" s="18">
        <f>IF($B503="","",N($F503)+N($G503)+N($H503))</f>
        <v/>
      </c>
      <c r="J503" s="18">
        <f>IF($B503="","",N($E503)-N($I503))</f>
        <v/>
      </c>
    </row>
    <row r="504">
      <c r="A504" s="41" t="n"/>
      <c r="B504" s="41" t="inlineStr">
        <is>
          <t>الإجماليات</t>
        </is>
      </c>
      <c r="C504" s="41" t="n"/>
      <c r="D504" s="42">
        <f>SUM($D$4:$D$503)</f>
        <v/>
      </c>
      <c r="E504" s="41" t="n"/>
      <c r="F504" s="42">
        <f>SUM($F$4:$F$503)</f>
        <v/>
      </c>
      <c r="G504" s="42">
        <f>SUM($G$4:$G$503)</f>
        <v/>
      </c>
      <c r="H504" s="42">
        <f>SUM($H$4:$H$503)</f>
        <v/>
      </c>
      <c r="I504" s="42">
        <f>SUM($I$4:$I$503)</f>
        <v/>
      </c>
      <c r="J504" s="41" t="n"/>
    </row>
  </sheetData>
  <autoFilter ref="A3:J503"/>
  <mergeCells count="2">
    <mergeCell ref="A1:J1"/>
    <mergeCell ref="A2:J2"/>
  </mergeCells>
  <conditionalFormatting sqref="J4:J503">
    <cfRule type="cellIs" priority="1" operator="lessThan" dxfId="0">
      <formula>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E6E3C"/>
    <outlinePr summaryBelow="1" summaryRight="1"/>
    <pageSetUpPr fitToPage="1"/>
  </sheetPr>
  <dimension ref="A1:J20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15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3" customWidth="1" min="10" max="10"/>
  </cols>
  <sheetData>
    <row r="1" ht="34" customHeight="1">
      <c r="A1" s="1" t="inlineStr">
        <is>
          <t>شركة المتوكل  —  العهد والرحلات</t>
        </is>
      </c>
    </row>
    <row r="2" ht="20" customHeight="1">
      <c r="A2" s="3" t="inlineStr">
        <is>
          <t>سجل مستمر لكل الرحلات والعُهد — يوماً بعد يوم</t>
        </is>
      </c>
    </row>
    <row r="3" ht="38" customHeight="1">
      <c r="A3" s="31" t="inlineStr">
        <is>
          <t>م</t>
        </is>
      </c>
      <c r="B3" s="31" t="inlineStr">
        <is>
          <t>التاريخ</t>
        </is>
      </c>
      <c r="C3" s="43" t="inlineStr">
        <is>
          <t>عدد الحاويات</t>
        </is>
      </c>
      <c r="D3" s="43" t="inlineStr">
        <is>
          <t>شركة الشحن</t>
        </is>
      </c>
      <c r="E3" s="31" t="inlineStr">
        <is>
          <t>اسم الشركة</t>
        </is>
      </c>
      <c r="F3" s="31" t="inlineStr">
        <is>
          <t>الجهة</t>
        </is>
      </c>
      <c r="G3" s="31" t="inlineStr">
        <is>
          <t>توكيل</t>
        </is>
      </c>
      <c r="H3" s="31" t="inlineStr">
        <is>
          <t>الميناء</t>
        </is>
      </c>
      <c r="I3" s="43" t="inlineStr">
        <is>
          <t>مالك السيارة</t>
        </is>
      </c>
      <c r="J3" s="36" t="inlineStr">
        <is>
          <t>العهد</t>
        </is>
      </c>
    </row>
    <row r="4">
      <c r="A4" s="16">
        <f>IF($B4="","",COUNTA($B$4:$B4))</f>
        <v/>
      </c>
      <c r="B4" s="71" t="n"/>
      <c r="C4" s="44" t="n"/>
      <c r="D4" s="45" t="n"/>
      <c r="E4" s="45" t="n"/>
      <c r="F4" s="45" t="n"/>
      <c r="G4" s="45" t="n"/>
      <c r="H4" s="45" t="n"/>
      <c r="I4" s="45" t="n"/>
      <c r="J4" s="38" t="n"/>
    </row>
    <row r="5">
      <c r="A5" s="16">
        <f>IF($B5="","",COUNTA($B$4:$B5))</f>
        <v/>
      </c>
      <c r="B5" s="72" t="n"/>
      <c r="C5" s="46" t="n"/>
      <c r="D5" s="47" t="n"/>
      <c r="E5" s="47" t="n"/>
      <c r="F5" s="47" t="n"/>
      <c r="G5" s="47" t="n"/>
      <c r="H5" s="47" t="n"/>
      <c r="I5" s="47" t="n"/>
      <c r="J5" s="40" t="n"/>
    </row>
    <row r="6">
      <c r="A6" s="16">
        <f>IF($B6="","",COUNTA($B$4:$B6))</f>
        <v/>
      </c>
      <c r="B6" s="71" t="n"/>
      <c r="C6" s="44" t="n"/>
      <c r="D6" s="45" t="n"/>
      <c r="E6" s="45" t="n"/>
      <c r="F6" s="45" t="n"/>
      <c r="G6" s="45" t="n"/>
      <c r="H6" s="45" t="n"/>
      <c r="I6" s="45" t="n"/>
      <c r="J6" s="38" t="n"/>
    </row>
    <row r="7">
      <c r="A7" s="16">
        <f>IF($B7="","",COUNTA($B$4:$B7))</f>
        <v/>
      </c>
      <c r="B7" s="72" t="n"/>
      <c r="C7" s="46" t="n"/>
      <c r="D7" s="47" t="n"/>
      <c r="E7" s="47" t="n"/>
      <c r="F7" s="47" t="n"/>
      <c r="G7" s="47" t="n"/>
      <c r="H7" s="47" t="n"/>
      <c r="I7" s="47" t="n"/>
      <c r="J7" s="40" t="n"/>
    </row>
    <row r="8">
      <c r="A8" s="16">
        <f>IF($B8="","",COUNTA($B$4:$B8))</f>
        <v/>
      </c>
      <c r="B8" s="71" t="n"/>
      <c r="C8" s="44" t="n"/>
      <c r="D8" s="45" t="n"/>
      <c r="E8" s="45" t="n"/>
      <c r="F8" s="45" t="n"/>
      <c r="G8" s="45" t="n"/>
      <c r="H8" s="45" t="n"/>
      <c r="I8" s="45" t="n"/>
      <c r="J8" s="38" t="n"/>
    </row>
    <row r="9">
      <c r="A9" s="16">
        <f>IF($B9="","",COUNTA($B$4:$B9))</f>
        <v/>
      </c>
      <c r="B9" s="72" t="n"/>
      <c r="C9" s="46" t="n"/>
      <c r="D9" s="47" t="n"/>
      <c r="E9" s="47" t="n"/>
      <c r="F9" s="47" t="n"/>
      <c r="G9" s="47" t="n"/>
      <c r="H9" s="47" t="n"/>
      <c r="I9" s="47" t="n"/>
      <c r="J9" s="40" t="n"/>
    </row>
    <row r="10">
      <c r="A10" s="16">
        <f>IF($B10="","",COUNTA($B$4:$B10))</f>
        <v/>
      </c>
      <c r="B10" s="71" t="n"/>
      <c r="C10" s="44" t="n"/>
      <c r="D10" s="45" t="n"/>
      <c r="E10" s="45" t="n"/>
      <c r="F10" s="45" t="n"/>
      <c r="G10" s="45" t="n"/>
      <c r="H10" s="45" t="n"/>
      <c r="I10" s="45" t="n"/>
      <c r="J10" s="38" t="n"/>
    </row>
    <row r="11">
      <c r="A11" s="16">
        <f>IF($B11="","",COUNTA($B$4:$B11))</f>
        <v/>
      </c>
      <c r="B11" s="72" t="n"/>
      <c r="C11" s="46" t="n"/>
      <c r="D11" s="47" t="n"/>
      <c r="E11" s="47" t="n"/>
      <c r="F11" s="47" t="n"/>
      <c r="G11" s="47" t="n"/>
      <c r="H11" s="47" t="n"/>
      <c r="I11" s="47" t="n"/>
      <c r="J11" s="40" t="n"/>
    </row>
    <row r="12">
      <c r="A12" s="16">
        <f>IF($B12="","",COUNTA($B$4:$B12))</f>
        <v/>
      </c>
      <c r="B12" s="71" t="n"/>
      <c r="C12" s="44" t="n"/>
      <c r="D12" s="45" t="n"/>
      <c r="E12" s="45" t="n"/>
      <c r="F12" s="45" t="n"/>
      <c r="G12" s="45" t="n"/>
      <c r="H12" s="45" t="n"/>
      <c r="I12" s="45" t="n"/>
      <c r="J12" s="38" t="n"/>
    </row>
    <row r="13">
      <c r="A13" s="16">
        <f>IF($B13="","",COUNTA($B$4:$B13))</f>
        <v/>
      </c>
      <c r="B13" s="72" t="n"/>
      <c r="C13" s="46" t="n"/>
      <c r="D13" s="47" t="n"/>
      <c r="E13" s="47" t="n"/>
      <c r="F13" s="47" t="n"/>
      <c r="G13" s="47" t="n"/>
      <c r="H13" s="47" t="n"/>
      <c r="I13" s="47" t="n"/>
      <c r="J13" s="40" t="n"/>
    </row>
    <row r="14">
      <c r="A14" s="16">
        <f>IF($B14="","",COUNTA($B$4:$B14))</f>
        <v/>
      </c>
      <c r="B14" s="71" t="n"/>
      <c r="C14" s="44" t="n"/>
      <c r="D14" s="45" t="n"/>
      <c r="E14" s="45" t="n"/>
      <c r="F14" s="45" t="n"/>
      <c r="G14" s="45" t="n"/>
      <c r="H14" s="45" t="n"/>
      <c r="I14" s="45" t="n"/>
      <c r="J14" s="38" t="n"/>
    </row>
    <row r="15">
      <c r="A15" s="16">
        <f>IF($B15="","",COUNTA($B$4:$B15))</f>
        <v/>
      </c>
      <c r="B15" s="72" t="n"/>
      <c r="C15" s="46" t="n"/>
      <c r="D15" s="47" t="n"/>
      <c r="E15" s="47" t="n"/>
      <c r="F15" s="47" t="n"/>
      <c r="G15" s="47" t="n"/>
      <c r="H15" s="47" t="n"/>
      <c r="I15" s="47" t="n"/>
      <c r="J15" s="40" t="n"/>
    </row>
    <row r="16">
      <c r="A16" s="16">
        <f>IF($B16="","",COUNTA($B$4:$B16))</f>
        <v/>
      </c>
      <c r="B16" s="71" t="n"/>
      <c r="C16" s="44" t="n"/>
      <c r="D16" s="45" t="n"/>
      <c r="E16" s="45" t="n"/>
      <c r="F16" s="45" t="n"/>
      <c r="G16" s="45" t="n"/>
      <c r="H16" s="45" t="n"/>
      <c r="I16" s="45" t="n"/>
      <c r="J16" s="38" t="n"/>
    </row>
    <row r="17">
      <c r="A17" s="16">
        <f>IF($B17="","",COUNTA($B$4:$B17))</f>
        <v/>
      </c>
      <c r="B17" s="72" t="n"/>
      <c r="C17" s="46" t="n"/>
      <c r="D17" s="47" t="n"/>
      <c r="E17" s="47" t="n"/>
      <c r="F17" s="47" t="n"/>
      <c r="G17" s="47" t="n"/>
      <c r="H17" s="47" t="n"/>
      <c r="I17" s="47" t="n"/>
      <c r="J17" s="40" t="n"/>
    </row>
    <row r="18">
      <c r="A18" s="16">
        <f>IF($B18="","",COUNTA($B$4:$B18))</f>
        <v/>
      </c>
      <c r="B18" s="71" t="n"/>
      <c r="C18" s="44" t="n"/>
      <c r="D18" s="45" t="n"/>
      <c r="E18" s="45" t="n"/>
      <c r="F18" s="45" t="n"/>
      <c r="G18" s="45" t="n"/>
      <c r="H18" s="45" t="n"/>
      <c r="I18" s="45" t="n"/>
      <c r="J18" s="38" t="n"/>
    </row>
    <row r="19">
      <c r="A19" s="16">
        <f>IF($B19="","",COUNTA($B$4:$B19))</f>
        <v/>
      </c>
      <c r="B19" s="72" t="n"/>
      <c r="C19" s="46" t="n"/>
      <c r="D19" s="47" t="n"/>
      <c r="E19" s="47" t="n"/>
      <c r="F19" s="47" t="n"/>
      <c r="G19" s="47" t="n"/>
      <c r="H19" s="47" t="n"/>
      <c r="I19" s="47" t="n"/>
      <c r="J19" s="40" t="n"/>
    </row>
    <row r="20">
      <c r="A20" s="16">
        <f>IF($B20="","",COUNTA($B$4:$B20))</f>
        <v/>
      </c>
      <c r="B20" s="71" t="n"/>
      <c r="C20" s="44" t="n"/>
      <c r="D20" s="45" t="n"/>
      <c r="E20" s="45" t="n"/>
      <c r="F20" s="45" t="n"/>
      <c r="G20" s="45" t="n"/>
      <c r="H20" s="45" t="n"/>
      <c r="I20" s="45" t="n"/>
      <c r="J20" s="38" t="n"/>
    </row>
    <row r="21">
      <c r="A21" s="16">
        <f>IF($B21="","",COUNTA($B$4:$B21))</f>
        <v/>
      </c>
      <c r="B21" s="72" t="n"/>
      <c r="C21" s="46" t="n"/>
      <c r="D21" s="47" t="n"/>
      <c r="E21" s="47" t="n"/>
      <c r="F21" s="47" t="n"/>
      <c r="G21" s="47" t="n"/>
      <c r="H21" s="47" t="n"/>
      <c r="I21" s="47" t="n"/>
      <c r="J21" s="40" t="n"/>
    </row>
    <row r="22">
      <c r="A22" s="16">
        <f>IF($B22="","",COUNTA($B$4:$B22))</f>
        <v/>
      </c>
      <c r="B22" s="71" t="n"/>
      <c r="C22" s="44" t="n"/>
      <c r="D22" s="45" t="n"/>
      <c r="E22" s="45" t="n"/>
      <c r="F22" s="45" t="n"/>
      <c r="G22" s="45" t="n"/>
      <c r="H22" s="45" t="n"/>
      <c r="I22" s="45" t="n"/>
      <c r="J22" s="38" t="n"/>
    </row>
    <row r="23">
      <c r="A23" s="16">
        <f>IF($B23="","",COUNTA($B$4:$B23))</f>
        <v/>
      </c>
      <c r="B23" s="72" t="n"/>
      <c r="C23" s="46" t="n"/>
      <c r="D23" s="47" t="n"/>
      <c r="E23" s="47" t="n"/>
      <c r="F23" s="47" t="n"/>
      <c r="G23" s="47" t="n"/>
      <c r="H23" s="47" t="n"/>
      <c r="I23" s="47" t="n"/>
      <c r="J23" s="40" t="n"/>
    </row>
    <row r="24">
      <c r="A24" s="16">
        <f>IF($B24="","",COUNTA($B$4:$B24))</f>
        <v/>
      </c>
      <c r="B24" s="71" t="n"/>
      <c r="C24" s="44" t="n"/>
      <c r="D24" s="45" t="n"/>
      <c r="E24" s="45" t="n"/>
      <c r="F24" s="45" t="n"/>
      <c r="G24" s="45" t="n"/>
      <c r="H24" s="45" t="n"/>
      <c r="I24" s="45" t="n"/>
      <c r="J24" s="38" t="n"/>
    </row>
    <row r="25">
      <c r="A25" s="16">
        <f>IF($B25="","",COUNTA($B$4:$B25))</f>
        <v/>
      </c>
      <c r="B25" s="72" t="n"/>
      <c r="C25" s="46" t="n"/>
      <c r="D25" s="47" t="n"/>
      <c r="E25" s="47" t="n"/>
      <c r="F25" s="47" t="n"/>
      <c r="G25" s="47" t="n"/>
      <c r="H25" s="47" t="n"/>
      <c r="I25" s="47" t="n"/>
      <c r="J25" s="40" t="n"/>
    </row>
    <row r="26">
      <c r="A26" s="16">
        <f>IF($B26="","",COUNTA($B$4:$B26))</f>
        <v/>
      </c>
      <c r="B26" s="71" t="n"/>
      <c r="C26" s="44" t="n"/>
      <c r="D26" s="45" t="n"/>
      <c r="E26" s="45" t="n"/>
      <c r="F26" s="45" t="n"/>
      <c r="G26" s="45" t="n"/>
      <c r="H26" s="45" t="n"/>
      <c r="I26" s="45" t="n"/>
      <c r="J26" s="38" t="n"/>
    </row>
    <row r="27">
      <c r="A27" s="16">
        <f>IF($B27="","",COUNTA($B$4:$B27))</f>
        <v/>
      </c>
      <c r="B27" s="72" t="n"/>
      <c r="C27" s="46" t="n"/>
      <c r="D27" s="47" t="n"/>
      <c r="E27" s="47" t="n"/>
      <c r="F27" s="47" t="n"/>
      <c r="G27" s="47" t="n"/>
      <c r="H27" s="47" t="n"/>
      <c r="I27" s="47" t="n"/>
      <c r="J27" s="40" t="n"/>
    </row>
    <row r="28">
      <c r="A28" s="16">
        <f>IF($B28="","",COUNTA($B$4:$B28))</f>
        <v/>
      </c>
      <c r="B28" s="71" t="n"/>
      <c r="C28" s="44" t="n"/>
      <c r="D28" s="45" t="n"/>
      <c r="E28" s="45" t="n"/>
      <c r="F28" s="45" t="n"/>
      <c r="G28" s="45" t="n"/>
      <c r="H28" s="45" t="n"/>
      <c r="I28" s="45" t="n"/>
      <c r="J28" s="38" t="n"/>
    </row>
    <row r="29">
      <c r="A29" s="16">
        <f>IF($B29="","",COUNTA($B$4:$B29))</f>
        <v/>
      </c>
      <c r="B29" s="72" t="n"/>
      <c r="C29" s="46" t="n"/>
      <c r="D29" s="47" t="n"/>
      <c r="E29" s="47" t="n"/>
      <c r="F29" s="47" t="n"/>
      <c r="G29" s="47" t="n"/>
      <c r="H29" s="47" t="n"/>
      <c r="I29" s="47" t="n"/>
      <c r="J29" s="40" t="n"/>
    </row>
    <row r="30">
      <c r="A30" s="16">
        <f>IF($B30="","",COUNTA($B$4:$B30))</f>
        <v/>
      </c>
      <c r="B30" s="71" t="n"/>
      <c r="C30" s="44" t="n"/>
      <c r="D30" s="45" t="n"/>
      <c r="E30" s="45" t="n"/>
      <c r="F30" s="45" t="n"/>
      <c r="G30" s="45" t="n"/>
      <c r="H30" s="45" t="n"/>
      <c r="I30" s="45" t="n"/>
      <c r="J30" s="38" t="n"/>
    </row>
    <row r="31">
      <c r="A31" s="16">
        <f>IF($B31="","",COUNTA($B$4:$B31))</f>
        <v/>
      </c>
      <c r="B31" s="72" t="n"/>
      <c r="C31" s="46" t="n"/>
      <c r="D31" s="47" t="n"/>
      <c r="E31" s="47" t="n"/>
      <c r="F31" s="47" t="n"/>
      <c r="G31" s="47" t="n"/>
      <c r="H31" s="47" t="n"/>
      <c r="I31" s="47" t="n"/>
      <c r="J31" s="40" t="n"/>
    </row>
    <row r="32">
      <c r="A32" s="16">
        <f>IF($B32="","",COUNTA($B$4:$B32))</f>
        <v/>
      </c>
      <c r="B32" s="71" t="n"/>
      <c r="C32" s="44" t="n"/>
      <c r="D32" s="45" t="n"/>
      <c r="E32" s="45" t="n"/>
      <c r="F32" s="45" t="n"/>
      <c r="G32" s="45" t="n"/>
      <c r="H32" s="45" t="n"/>
      <c r="I32" s="45" t="n"/>
      <c r="J32" s="38" t="n"/>
    </row>
    <row r="33">
      <c r="A33" s="16">
        <f>IF($B33="","",COUNTA($B$4:$B33))</f>
        <v/>
      </c>
      <c r="B33" s="72" t="n"/>
      <c r="C33" s="46" t="n"/>
      <c r="D33" s="47" t="n"/>
      <c r="E33" s="47" t="n"/>
      <c r="F33" s="47" t="n"/>
      <c r="G33" s="47" t="n"/>
      <c r="H33" s="47" t="n"/>
      <c r="I33" s="47" t="n"/>
      <c r="J33" s="40" t="n"/>
    </row>
    <row r="34">
      <c r="A34" s="16">
        <f>IF($B34="","",COUNTA($B$4:$B34))</f>
        <v/>
      </c>
      <c r="B34" s="71" t="n"/>
      <c r="C34" s="44" t="n"/>
      <c r="D34" s="45" t="n"/>
      <c r="E34" s="45" t="n"/>
      <c r="F34" s="45" t="n"/>
      <c r="G34" s="45" t="n"/>
      <c r="H34" s="45" t="n"/>
      <c r="I34" s="45" t="n"/>
      <c r="J34" s="38" t="n"/>
    </row>
    <row r="35">
      <c r="A35" s="16">
        <f>IF($B35="","",COUNTA($B$4:$B35))</f>
        <v/>
      </c>
      <c r="B35" s="72" t="n"/>
      <c r="C35" s="46" t="n"/>
      <c r="D35" s="47" t="n"/>
      <c r="E35" s="47" t="n"/>
      <c r="F35" s="47" t="n"/>
      <c r="G35" s="47" t="n"/>
      <c r="H35" s="47" t="n"/>
      <c r="I35" s="47" t="n"/>
      <c r="J35" s="40" t="n"/>
    </row>
    <row r="36">
      <c r="A36" s="16">
        <f>IF($B36="","",COUNTA($B$4:$B36))</f>
        <v/>
      </c>
      <c r="B36" s="71" t="n"/>
      <c r="C36" s="44" t="n"/>
      <c r="D36" s="45" t="n"/>
      <c r="E36" s="45" t="n"/>
      <c r="F36" s="45" t="n"/>
      <c r="G36" s="45" t="n"/>
      <c r="H36" s="45" t="n"/>
      <c r="I36" s="45" t="n"/>
      <c r="J36" s="38" t="n"/>
    </row>
    <row r="37">
      <c r="A37" s="16">
        <f>IF($B37="","",COUNTA($B$4:$B37))</f>
        <v/>
      </c>
      <c r="B37" s="72" t="n"/>
      <c r="C37" s="46" t="n"/>
      <c r="D37" s="47" t="n"/>
      <c r="E37" s="47" t="n"/>
      <c r="F37" s="47" t="n"/>
      <c r="G37" s="47" t="n"/>
      <c r="H37" s="47" t="n"/>
      <c r="I37" s="47" t="n"/>
      <c r="J37" s="40" t="n"/>
    </row>
    <row r="38">
      <c r="A38" s="16">
        <f>IF($B38="","",COUNTA($B$4:$B38))</f>
        <v/>
      </c>
      <c r="B38" s="71" t="n"/>
      <c r="C38" s="44" t="n"/>
      <c r="D38" s="45" t="n"/>
      <c r="E38" s="45" t="n"/>
      <c r="F38" s="45" t="n"/>
      <c r="G38" s="45" t="n"/>
      <c r="H38" s="45" t="n"/>
      <c r="I38" s="45" t="n"/>
      <c r="J38" s="38" t="n"/>
    </row>
    <row r="39">
      <c r="A39" s="16">
        <f>IF($B39="","",COUNTA($B$4:$B39))</f>
        <v/>
      </c>
      <c r="B39" s="72" t="n"/>
      <c r="C39" s="46" t="n"/>
      <c r="D39" s="47" t="n"/>
      <c r="E39" s="47" t="n"/>
      <c r="F39" s="47" t="n"/>
      <c r="G39" s="47" t="n"/>
      <c r="H39" s="47" t="n"/>
      <c r="I39" s="47" t="n"/>
      <c r="J39" s="40" t="n"/>
    </row>
    <row r="40">
      <c r="A40" s="16">
        <f>IF($B40="","",COUNTA($B$4:$B40))</f>
        <v/>
      </c>
      <c r="B40" s="71" t="n"/>
      <c r="C40" s="44" t="n"/>
      <c r="D40" s="45" t="n"/>
      <c r="E40" s="45" t="n"/>
      <c r="F40" s="45" t="n"/>
      <c r="G40" s="45" t="n"/>
      <c r="H40" s="45" t="n"/>
      <c r="I40" s="45" t="n"/>
      <c r="J40" s="38" t="n"/>
    </row>
    <row r="41">
      <c r="A41" s="16">
        <f>IF($B41="","",COUNTA($B$4:$B41))</f>
        <v/>
      </c>
      <c r="B41" s="72" t="n"/>
      <c r="C41" s="46" t="n"/>
      <c r="D41" s="47" t="n"/>
      <c r="E41" s="47" t="n"/>
      <c r="F41" s="47" t="n"/>
      <c r="G41" s="47" t="n"/>
      <c r="H41" s="47" t="n"/>
      <c r="I41" s="47" t="n"/>
      <c r="J41" s="40" t="n"/>
    </row>
    <row r="42">
      <c r="A42" s="16">
        <f>IF($B42="","",COUNTA($B$4:$B42))</f>
        <v/>
      </c>
      <c r="B42" s="71" t="n"/>
      <c r="C42" s="44" t="n"/>
      <c r="D42" s="45" t="n"/>
      <c r="E42" s="45" t="n"/>
      <c r="F42" s="45" t="n"/>
      <c r="G42" s="45" t="n"/>
      <c r="H42" s="45" t="n"/>
      <c r="I42" s="45" t="n"/>
      <c r="J42" s="38" t="n"/>
    </row>
    <row r="43">
      <c r="A43" s="16">
        <f>IF($B43="","",COUNTA($B$4:$B43))</f>
        <v/>
      </c>
      <c r="B43" s="72" t="n"/>
      <c r="C43" s="46" t="n"/>
      <c r="D43" s="47" t="n"/>
      <c r="E43" s="47" t="n"/>
      <c r="F43" s="47" t="n"/>
      <c r="G43" s="47" t="n"/>
      <c r="H43" s="47" t="n"/>
      <c r="I43" s="47" t="n"/>
      <c r="J43" s="40" t="n"/>
    </row>
    <row r="44">
      <c r="A44" s="16">
        <f>IF($B44="","",COUNTA($B$4:$B44))</f>
        <v/>
      </c>
      <c r="B44" s="71" t="n"/>
      <c r="C44" s="44" t="n"/>
      <c r="D44" s="45" t="n"/>
      <c r="E44" s="45" t="n"/>
      <c r="F44" s="45" t="n"/>
      <c r="G44" s="45" t="n"/>
      <c r="H44" s="45" t="n"/>
      <c r="I44" s="45" t="n"/>
      <c r="J44" s="38" t="n"/>
    </row>
    <row r="45">
      <c r="A45" s="16">
        <f>IF($B45="","",COUNTA($B$4:$B45))</f>
        <v/>
      </c>
      <c r="B45" s="72" t="n"/>
      <c r="C45" s="46" t="n"/>
      <c r="D45" s="47" t="n"/>
      <c r="E45" s="47" t="n"/>
      <c r="F45" s="47" t="n"/>
      <c r="G45" s="47" t="n"/>
      <c r="H45" s="47" t="n"/>
      <c r="I45" s="47" t="n"/>
      <c r="J45" s="40" t="n"/>
    </row>
    <row r="46">
      <c r="A46" s="16">
        <f>IF($B46="","",COUNTA($B$4:$B46))</f>
        <v/>
      </c>
      <c r="B46" s="71" t="n"/>
      <c r="C46" s="44" t="n"/>
      <c r="D46" s="45" t="n"/>
      <c r="E46" s="45" t="n"/>
      <c r="F46" s="45" t="n"/>
      <c r="G46" s="45" t="n"/>
      <c r="H46" s="45" t="n"/>
      <c r="I46" s="45" t="n"/>
      <c r="J46" s="38" t="n"/>
    </row>
    <row r="47">
      <c r="A47" s="16">
        <f>IF($B47="","",COUNTA($B$4:$B47))</f>
        <v/>
      </c>
      <c r="B47" s="72" t="n"/>
      <c r="C47" s="46" t="n"/>
      <c r="D47" s="47" t="n"/>
      <c r="E47" s="47" t="n"/>
      <c r="F47" s="47" t="n"/>
      <c r="G47" s="47" t="n"/>
      <c r="H47" s="47" t="n"/>
      <c r="I47" s="47" t="n"/>
      <c r="J47" s="40" t="n"/>
    </row>
    <row r="48">
      <c r="A48" s="16">
        <f>IF($B48="","",COUNTA($B$4:$B48))</f>
        <v/>
      </c>
      <c r="B48" s="71" t="n"/>
      <c r="C48" s="44" t="n"/>
      <c r="D48" s="45" t="n"/>
      <c r="E48" s="45" t="n"/>
      <c r="F48" s="45" t="n"/>
      <c r="G48" s="45" t="n"/>
      <c r="H48" s="45" t="n"/>
      <c r="I48" s="45" t="n"/>
      <c r="J48" s="38" t="n"/>
    </row>
    <row r="49">
      <c r="A49" s="16">
        <f>IF($B49="","",COUNTA($B$4:$B49))</f>
        <v/>
      </c>
      <c r="B49" s="72" t="n"/>
      <c r="C49" s="46" t="n"/>
      <c r="D49" s="47" t="n"/>
      <c r="E49" s="47" t="n"/>
      <c r="F49" s="47" t="n"/>
      <c r="G49" s="47" t="n"/>
      <c r="H49" s="47" t="n"/>
      <c r="I49" s="47" t="n"/>
      <c r="J49" s="40" t="n"/>
    </row>
    <row r="50">
      <c r="A50" s="16">
        <f>IF($B50="","",COUNTA($B$4:$B50))</f>
        <v/>
      </c>
      <c r="B50" s="71" t="n"/>
      <c r="C50" s="44" t="n"/>
      <c r="D50" s="45" t="n"/>
      <c r="E50" s="45" t="n"/>
      <c r="F50" s="45" t="n"/>
      <c r="G50" s="45" t="n"/>
      <c r="H50" s="45" t="n"/>
      <c r="I50" s="45" t="n"/>
      <c r="J50" s="38" t="n"/>
    </row>
    <row r="51">
      <c r="A51" s="16">
        <f>IF($B51="","",COUNTA($B$4:$B51))</f>
        <v/>
      </c>
      <c r="B51" s="72" t="n"/>
      <c r="C51" s="46" t="n"/>
      <c r="D51" s="47" t="n"/>
      <c r="E51" s="47" t="n"/>
      <c r="F51" s="47" t="n"/>
      <c r="G51" s="47" t="n"/>
      <c r="H51" s="47" t="n"/>
      <c r="I51" s="47" t="n"/>
      <c r="J51" s="40" t="n"/>
    </row>
    <row r="52">
      <c r="A52" s="16">
        <f>IF($B52="","",COUNTA($B$4:$B52))</f>
        <v/>
      </c>
      <c r="B52" s="71" t="n"/>
      <c r="C52" s="44" t="n"/>
      <c r="D52" s="45" t="n"/>
      <c r="E52" s="45" t="n"/>
      <c r="F52" s="45" t="n"/>
      <c r="G52" s="45" t="n"/>
      <c r="H52" s="45" t="n"/>
      <c r="I52" s="45" t="n"/>
      <c r="J52" s="38" t="n"/>
    </row>
    <row r="53">
      <c r="A53" s="16">
        <f>IF($B53="","",COUNTA($B$4:$B53))</f>
        <v/>
      </c>
      <c r="B53" s="72" t="n"/>
      <c r="C53" s="46" t="n"/>
      <c r="D53" s="47" t="n"/>
      <c r="E53" s="47" t="n"/>
      <c r="F53" s="47" t="n"/>
      <c r="G53" s="47" t="n"/>
      <c r="H53" s="47" t="n"/>
      <c r="I53" s="47" t="n"/>
      <c r="J53" s="40" t="n"/>
    </row>
    <row r="54">
      <c r="A54" s="16">
        <f>IF($B54="","",COUNTA($B$4:$B54))</f>
        <v/>
      </c>
      <c r="B54" s="71" t="n"/>
      <c r="C54" s="44" t="n"/>
      <c r="D54" s="45" t="n"/>
      <c r="E54" s="45" t="n"/>
      <c r="F54" s="45" t="n"/>
      <c r="G54" s="45" t="n"/>
      <c r="H54" s="45" t="n"/>
      <c r="I54" s="45" t="n"/>
      <c r="J54" s="38" t="n"/>
    </row>
    <row r="55">
      <c r="A55" s="16">
        <f>IF($B55="","",COUNTA($B$4:$B55))</f>
        <v/>
      </c>
      <c r="B55" s="72" t="n"/>
      <c r="C55" s="46" t="n"/>
      <c r="D55" s="47" t="n"/>
      <c r="E55" s="47" t="n"/>
      <c r="F55" s="47" t="n"/>
      <c r="G55" s="47" t="n"/>
      <c r="H55" s="47" t="n"/>
      <c r="I55" s="47" t="n"/>
      <c r="J55" s="40" t="n"/>
    </row>
    <row r="56">
      <c r="A56" s="16">
        <f>IF($B56="","",COUNTA($B$4:$B56))</f>
        <v/>
      </c>
      <c r="B56" s="71" t="n"/>
      <c r="C56" s="44" t="n"/>
      <c r="D56" s="45" t="n"/>
      <c r="E56" s="45" t="n"/>
      <c r="F56" s="45" t="n"/>
      <c r="G56" s="45" t="n"/>
      <c r="H56" s="45" t="n"/>
      <c r="I56" s="45" t="n"/>
      <c r="J56" s="38" t="n"/>
    </row>
    <row r="57">
      <c r="A57" s="16">
        <f>IF($B57="","",COUNTA($B$4:$B57))</f>
        <v/>
      </c>
      <c r="B57" s="72" t="n"/>
      <c r="C57" s="46" t="n"/>
      <c r="D57" s="47" t="n"/>
      <c r="E57" s="47" t="n"/>
      <c r="F57" s="47" t="n"/>
      <c r="G57" s="47" t="n"/>
      <c r="H57" s="47" t="n"/>
      <c r="I57" s="47" t="n"/>
      <c r="J57" s="40" t="n"/>
    </row>
    <row r="58">
      <c r="A58" s="16">
        <f>IF($B58="","",COUNTA($B$4:$B58))</f>
        <v/>
      </c>
      <c r="B58" s="71" t="n"/>
      <c r="C58" s="44" t="n"/>
      <c r="D58" s="45" t="n"/>
      <c r="E58" s="45" t="n"/>
      <c r="F58" s="45" t="n"/>
      <c r="G58" s="45" t="n"/>
      <c r="H58" s="45" t="n"/>
      <c r="I58" s="45" t="n"/>
      <c r="J58" s="38" t="n"/>
    </row>
    <row r="59">
      <c r="A59" s="16">
        <f>IF($B59="","",COUNTA($B$4:$B59))</f>
        <v/>
      </c>
      <c r="B59" s="72" t="n"/>
      <c r="C59" s="46" t="n"/>
      <c r="D59" s="47" t="n"/>
      <c r="E59" s="47" t="n"/>
      <c r="F59" s="47" t="n"/>
      <c r="G59" s="47" t="n"/>
      <c r="H59" s="47" t="n"/>
      <c r="I59" s="47" t="n"/>
      <c r="J59" s="40" t="n"/>
    </row>
    <row r="60">
      <c r="A60" s="16">
        <f>IF($B60="","",COUNTA($B$4:$B60))</f>
        <v/>
      </c>
      <c r="B60" s="71" t="n"/>
      <c r="C60" s="44" t="n"/>
      <c r="D60" s="45" t="n"/>
      <c r="E60" s="45" t="n"/>
      <c r="F60" s="45" t="n"/>
      <c r="G60" s="45" t="n"/>
      <c r="H60" s="45" t="n"/>
      <c r="I60" s="45" t="n"/>
      <c r="J60" s="38" t="n"/>
    </row>
    <row r="61">
      <c r="A61" s="16">
        <f>IF($B61="","",COUNTA($B$4:$B61))</f>
        <v/>
      </c>
      <c r="B61" s="72" t="n"/>
      <c r="C61" s="46" t="n"/>
      <c r="D61" s="47" t="n"/>
      <c r="E61" s="47" t="n"/>
      <c r="F61" s="47" t="n"/>
      <c r="G61" s="47" t="n"/>
      <c r="H61" s="47" t="n"/>
      <c r="I61" s="47" t="n"/>
      <c r="J61" s="40" t="n"/>
    </row>
    <row r="62">
      <c r="A62" s="16">
        <f>IF($B62="","",COUNTA($B$4:$B62))</f>
        <v/>
      </c>
      <c r="B62" s="71" t="n"/>
      <c r="C62" s="44" t="n"/>
      <c r="D62" s="45" t="n"/>
      <c r="E62" s="45" t="n"/>
      <c r="F62" s="45" t="n"/>
      <c r="G62" s="45" t="n"/>
      <c r="H62" s="45" t="n"/>
      <c r="I62" s="45" t="n"/>
      <c r="J62" s="38" t="n"/>
    </row>
    <row r="63">
      <c r="A63" s="16">
        <f>IF($B63="","",COUNTA($B$4:$B63))</f>
        <v/>
      </c>
      <c r="B63" s="72" t="n"/>
      <c r="C63" s="46" t="n"/>
      <c r="D63" s="47" t="n"/>
      <c r="E63" s="47" t="n"/>
      <c r="F63" s="47" t="n"/>
      <c r="G63" s="47" t="n"/>
      <c r="H63" s="47" t="n"/>
      <c r="I63" s="47" t="n"/>
      <c r="J63" s="40" t="n"/>
    </row>
    <row r="64">
      <c r="A64" s="16">
        <f>IF($B64="","",COUNTA($B$4:$B64))</f>
        <v/>
      </c>
      <c r="B64" s="71" t="n"/>
      <c r="C64" s="44" t="n"/>
      <c r="D64" s="45" t="n"/>
      <c r="E64" s="45" t="n"/>
      <c r="F64" s="45" t="n"/>
      <c r="G64" s="45" t="n"/>
      <c r="H64" s="45" t="n"/>
      <c r="I64" s="45" t="n"/>
      <c r="J64" s="38" t="n"/>
    </row>
    <row r="65">
      <c r="A65" s="16">
        <f>IF($B65="","",COUNTA($B$4:$B65))</f>
        <v/>
      </c>
      <c r="B65" s="72" t="n"/>
      <c r="C65" s="46" t="n"/>
      <c r="D65" s="47" t="n"/>
      <c r="E65" s="47" t="n"/>
      <c r="F65" s="47" t="n"/>
      <c r="G65" s="47" t="n"/>
      <c r="H65" s="47" t="n"/>
      <c r="I65" s="47" t="n"/>
      <c r="J65" s="40" t="n"/>
    </row>
    <row r="66">
      <c r="A66" s="16">
        <f>IF($B66="","",COUNTA($B$4:$B66))</f>
        <v/>
      </c>
      <c r="B66" s="71" t="n"/>
      <c r="C66" s="44" t="n"/>
      <c r="D66" s="45" t="n"/>
      <c r="E66" s="45" t="n"/>
      <c r="F66" s="45" t="n"/>
      <c r="G66" s="45" t="n"/>
      <c r="H66" s="45" t="n"/>
      <c r="I66" s="45" t="n"/>
      <c r="J66" s="38" t="n"/>
    </row>
    <row r="67">
      <c r="A67" s="16">
        <f>IF($B67="","",COUNTA($B$4:$B67))</f>
        <v/>
      </c>
      <c r="B67" s="72" t="n"/>
      <c r="C67" s="46" t="n"/>
      <c r="D67" s="47" t="n"/>
      <c r="E67" s="47" t="n"/>
      <c r="F67" s="47" t="n"/>
      <c r="G67" s="47" t="n"/>
      <c r="H67" s="47" t="n"/>
      <c r="I67" s="47" t="n"/>
      <c r="J67" s="40" t="n"/>
    </row>
    <row r="68">
      <c r="A68" s="16">
        <f>IF($B68="","",COUNTA($B$4:$B68))</f>
        <v/>
      </c>
      <c r="B68" s="71" t="n"/>
      <c r="C68" s="44" t="n"/>
      <c r="D68" s="45" t="n"/>
      <c r="E68" s="45" t="n"/>
      <c r="F68" s="45" t="n"/>
      <c r="G68" s="45" t="n"/>
      <c r="H68" s="45" t="n"/>
      <c r="I68" s="45" t="n"/>
      <c r="J68" s="38" t="n"/>
    </row>
    <row r="69">
      <c r="A69" s="16">
        <f>IF($B69="","",COUNTA($B$4:$B69))</f>
        <v/>
      </c>
      <c r="B69" s="72" t="n"/>
      <c r="C69" s="46" t="n"/>
      <c r="D69" s="47" t="n"/>
      <c r="E69" s="47" t="n"/>
      <c r="F69" s="47" t="n"/>
      <c r="G69" s="47" t="n"/>
      <c r="H69" s="47" t="n"/>
      <c r="I69" s="47" t="n"/>
      <c r="J69" s="40" t="n"/>
    </row>
    <row r="70">
      <c r="A70" s="16">
        <f>IF($B70="","",COUNTA($B$4:$B70))</f>
        <v/>
      </c>
      <c r="B70" s="71" t="n"/>
      <c r="C70" s="44" t="n"/>
      <c r="D70" s="45" t="n"/>
      <c r="E70" s="45" t="n"/>
      <c r="F70" s="45" t="n"/>
      <c r="G70" s="45" t="n"/>
      <c r="H70" s="45" t="n"/>
      <c r="I70" s="45" t="n"/>
      <c r="J70" s="38" t="n"/>
    </row>
    <row r="71">
      <c r="A71" s="16">
        <f>IF($B71="","",COUNTA($B$4:$B71))</f>
        <v/>
      </c>
      <c r="B71" s="72" t="n"/>
      <c r="C71" s="46" t="n"/>
      <c r="D71" s="47" t="n"/>
      <c r="E71" s="47" t="n"/>
      <c r="F71" s="47" t="n"/>
      <c r="G71" s="47" t="n"/>
      <c r="H71" s="47" t="n"/>
      <c r="I71" s="47" t="n"/>
      <c r="J71" s="40" t="n"/>
    </row>
    <row r="72">
      <c r="A72" s="16">
        <f>IF($B72="","",COUNTA($B$4:$B72))</f>
        <v/>
      </c>
      <c r="B72" s="71" t="n"/>
      <c r="C72" s="44" t="n"/>
      <c r="D72" s="45" t="n"/>
      <c r="E72" s="45" t="n"/>
      <c r="F72" s="45" t="n"/>
      <c r="G72" s="45" t="n"/>
      <c r="H72" s="45" t="n"/>
      <c r="I72" s="45" t="n"/>
      <c r="J72" s="38" t="n"/>
    </row>
    <row r="73">
      <c r="A73" s="16">
        <f>IF($B73="","",COUNTA($B$4:$B73))</f>
        <v/>
      </c>
      <c r="B73" s="72" t="n"/>
      <c r="C73" s="46" t="n"/>
      <c r="D73" s="47" t="n"/>
      <c r="E73" s="47" t="n"/>
      <c r="F73" s="47" t="n"/>
      <c r="G73" s="47" t="n"/>
      <c r="H73" s="47" t="n"/>
      <c r="I73" s="47" t="n"/>
      <c r="J73" s="40" t="n"/>
    </row>
    <row r="74">
      <c r="A74" s="16">
        <f>IF($B74="","",COUNTA($B$4:$B74))</f>
        <v/>
      </c>
      <c r="B74" s="71" t="n"/>
      <c r="C74" s="44" t="n"/>
      <c r="D74" s="45" t="n"/>
      <c r="E74" s="45" t="n"/>
      <c r="F74" s="45" t="n"/>
      <c r="G74" s="45" t="n"/>
      <c r="H74" s="45" t="n"/>
      <c r="I74" s="45" t="n"/>
      <c r="J74" s="38" t="n"/>
    </row>
    <row r="75">
      <c r="A75" s="16">
        <f>IF($B75="","",COUNTA($B$4:$B75))</f>
        <v/>
      </c>
      <c r="B75" s="72" t="n"/>
      <c r="C75" s="46" t="n"/>
      <c r="D75" s="47" t="n"/>
      <c r="E75" s="47" t="n"/>
      <c r="F75" s="47" t="n"/>
      <c r="G75" s="47" t="n"/>
      <c r="H75" s="47" t="n"/>
      <c r="I75" s="47" t="n"/>
      <c r="J75" s="40" t="n"/>
    </row>
    <row r="76">
      <c r="A76" s="16">
        <f>IF($B76="","",COUNTA($B$4:$B76))</f>
        <v/>
      </c>
      <c r="B76" s="71" t="n"/>
      <c r="C76" s="44" t="n"/>
      <c r="D76" s="45" t="n"/>
      <c r="E76" s="45" t="n"/>
      <c r="F76" s="45" t="n"/>
      <c r="G76" s="45" t="n"/>
      <c r="H76" s="45" t="n"/>
      <c r="I76" s="45" t="n"/>
      <c r="J76" s="38" t="n"/>
    </row>
    <row r="77">
      <c r="A77" s="16">
        <f>IF($B77="","",COUNTA($B$4:$B77))</f>
        <v/>
      </c>
      <c r="B77" s="72" t="n"/>
      <c r="C77" s="46" t="n"/>
      <c r="D77" s="47" t="n"/>
      <c r="E77" s="47" t="n"/>
      <c r="F77" s="47" t="n"/>
      <c r="G77" s="47" t="n"/>
      <c r="H77" s="47" t="n"/>
      <c r="I77" s="47" t="n"/>
      <c r="J77" s="40" t="n"/>
    </row>
    <row r="78">
      <c r="A78" s="16">
        <f>IF($B78="","",COUNTA($B$4:$B78))</f>
        <v/>
      </c>
      <c r="B78" s="71" t="n"/>
      <c r="C78" s="44" t="n"/>
      <c r="D78" s="45" t="n"/>
      <c r="E78" s="45" t="n"/>
      <c r="F78" s="45" t="n"/>
      <c r="G78" s="45" t="n"/>
      <c r="H78" s="45" t="n"/>
      <c r="I78" s="45" t="n"/>
      <c r="J78" s="38" t="n"/>
    </row>
    <row r="79">
      <c r="A79" s="16">
        <f>IF($B79="","",COUNTA($B$4:$B79))</f>
        <v/>
      </c>
      <c r="B79" s="72" t="n"/>
      <c r="C79" s="46" t="n"/>
      <c r="D79" s="47" t="n"/>
      <c r="E79" s="47" t="n"/>
      <c r="F79" s="47" t="n"/>
      <c r="G79" s="47" t="n"/>
      <c r="H79" s="47" t="n"/>
      <c r="I79" s="47" t="n"/>
      <c r="J79" s="40" t="n"/>
    </row>
    <row r="80">
      <c r="A80" s="16">
        <f>IF($B80="","",COUNTA($B$4:$B80))</f>
        <v/>
      </c>
      <c r="B80" s="71" t="n"/>
      <c r="C80" s="44" t="n"/>
      <c r="D80" s="45" t="n"/>
      <c r="E80" s="45" t="n"/>
      <c r="F80" s="45" t="n"/>
      <c r="G80" s="45" t="n"/>
      <c r="H80" s="45" t="n"/>
      <c r="I80" s="45" t="n"/>
      <c r="J80" s="38" t="n"/>
    </row>
    <row r="81">
      <c r="A81" s="16">
        <f>IF($B81="","",COUNTA($B$4:$B81))</f>
        <v/>
      </c>
      <c r="B81" s="72" t="n"/>
      <c r="C81" s="46" t="n"/>
      <c r="D81" s="47" t="n"/>
      <c r="E81" s="47" t="n"/>
      <c r="F81" s="47" t="n"/>
      <c r="G81" s="47" t="n"/>
      <c r="H81" s="47" t="n"/>
      <c r="I81" s="47" t="n"/>
      <c r="J81" s="40" t="n"/>
    </row>
    <row r="82">
      <c r="A82" s="16">
        <f>IF($B82="","",COUNTA($B$4:$B82))</f>
        <v/>
      </c>
      <c r="B82" s="71" t="n"/>
      <c r="C82" s="44" t="n"/>
      <c r="D82" s="45" t="n"/>
      <c r="E82" s="45" t="n"/>
      <c r="F82" s="45" t="n"/>
      <c r="G82" s="45" t="n"/>
      <c r="H82" s="45" t="n"/>
      <c r="I82" s="45" t="n"/>
      <c r="J82" s="38" t="n"/>
    </row>
    <row r="83">
      <c r="A83" s="16">
        <f>IF($B83="","",COUNTA($B$4:$B83))</f>
        <v/>
      </c>
      <c r="B83" s="72" t="n"/>
      <c r="C83" s="46" t="n"/>
      <c r="D83" s="47" t="n"/>
      <c r="E83" s="47" t="n"/>
      <c r="F83" s="47" t="n"/>
      <c r="G83" s="47" t="n"/>
      <c r="H83" s="47" t="n"/>
      <c r="I83" s="47" t="n"/>
      <c r="J83" s="40" t="n"/>
    </row>
    <row r="84">
      <c r="A84" s="16">
        <f>IF($B84="","",COUNTA($B$4:$B84))</f>
        <v/>
      </c>
      <c r="B84" s="71" t="n"/>
      <c r="C84" s="44" t="n"/>
      <c r="D84" s="45" t="n"/>
      <c r="E84" s="45" t="n"/>
      <c r="F84" s="45" t="n"/>
      <c r="G84" s="45" t="n"/>
      <c r="H84" s="45" t="n"/>
      <c r="I84" s="45" t="n"/>
      <c r="J84" s="38" t="n"/>
    </row>
    <row r="85">
      <c r="A85" s="16">
        <f>IF($B85="","",COUNTA($B$4:$B85))</f>
        <v/>
      </c>
      <c r="B85" s="72" t="n"/>
      <c r="C85" s="46" t="n"/>
      <c r="D85" s="47" t="n"/>
      <c r="E85" s="47" t="n"/>
      <c r="F85" s="47" t="n"/>
      <c r="G85" s="47" t="n"/>
      <c r="H85" s="47" t="n"/>
      <c r="I85" s="47" t="n"/>
      <c r="J85" s="40" t="n"/>
    </row>
    <row r="86">
      <c r="A86" s="16">
        <f>IF($B86="","",COUNTA($B$4:$B86))</f>
        <v/>
      </c>
      <c r="B86" s="71" t="n"/>
      <c r="C86" s="44" t="n"/>
      <c r="D86" s="45" t="n"/>
      <c r="E86" s="45" t="n"/>
      <c r="F86" s="45" t="n"/>
      <c r="G86" s="45" t="n"/>
      <c r="H86" s="45" t="n"/>
      <c r="I86" s="45" t="n"/>
      <c r="J86" s="38" t="n"/>
    </row>
    <row r="87">
      <c r="A87" s="16">
        <f>IF($B87="","",COUNTA($B$4:$B87))</f>
        <v/>
      </c>
      <c r="B87" s="72" t="n"/>
      <c r="C87" s="46" t="n"/>
      <c r="D87" s="47" t="n"/>
      <c r="E87" s="47" t="n"/>
      <c r="F87" s="47" t="n"/>
      <c r="G87" s="47" t="n"/>
      <c r="H87" s="47" t="n"/>
      <c r="I87" s="47" t="n"/>
      <c r="J87" s="40" t="n"/>
    </row>
    <row r="88">
      <c r="A88" s="16">
        <f>IF($B88="","",COUNTA($B$4:$B88))</f>
        <v/>
      </c>
      <c r="B88" s="71" t="n"/>
      <c r="C88" s="44" t="n"/>
      <c r="D88" s="45" t="n"/>
      <c r="E88" s="45" t="n"/>
      <c r="F88" s="45" t="n"/>
      <c r="G88" s="45" t="n"/>
      <c r="H88" s="45" t="n"/>
      <c r="I88" s="45" t="n"/>
      <c r="J88" s="38" t="n"/>
    </row>
    <row r="89">
      <c r="A89" s="16">
        <f>IF($B89="","",COUNTA($B$4:$B89))</f>
        <v/>
      </c>
      <c r="B89" s="72" t="n"/>
      <c r="C89" s="46" t="n"/>
      <c r="D89" s="47" t="n"/>
      <c r="E89" s="47" t="n"/>
      <c r="F89" s="47" t="n"/>
      <c r="G89" s="47" t="n"/>
      <c r="H89" s="47" t="n"/>
      <c r="I89" s="47" t="n"/>
      <c r="J89" s="40" t="n"/>
    </row>
    <row r="90">
      <c r="A90" s="16">
        <f>IF($B90="","",COUNTA($B$4:$B90))</f>
        <v/>
      </c>
      <c r="B90" s="71" t="n"/>
      <c r="C90" s="44" t="n"/>
      <c r="D90" s="45" t="n"/>
      <c r="E90" s="45" t="n"/>
      <c r="F90" s="45" t="n"/>
      <c r="G90" s="45" t="n"/>
      <c r="H90" s="45" t="n"/>
      <c r="I90" s="45" t="n"/>
      <c r="J90" s="38" t="n"/>
    </row>
    <row r="91">
      <c r="A91" s="16">
        <f>IF($B91="","",COUNTA($B$4:$B91))</f>
        <v/>
      </c>
      <c r="B91" s="72" t="n"/>
      <c r="C91" s="46" t="n"/>
      <c r="D91" s="47" t="n"/>
      <c r="E91" s="47" t="n"/>
      <c r="F91" s="47" t="n"/>
      <c r="G91" s="47" t="n"/>
      <c r="H91" s="47" t="n"/>
      <c r="I91" s="47" t="n"/>
      <c r="J91" s="40" t="n"/>
    </row>
    <row r="92">
      <c r="A92" s="16">
        <f>IF($B92="","",COUNTA($B$4:$B92))</f>
        <v/>
      </c>
      <c r="B92" s="71" t="n"/>
      <c r="C92" s="44" t="n"/>
      <c r="D92" s="45" t="n"/>
      <c r="E92" s="45" t="n"/>
      <c r="F92" s="45" t="n"/>
      <c r="G92" s="45" t="n"/>
      <c r="H92" s="45" t="n"/>
      <c r="I92" s="45" t="n"/>
      <c r="J92" s="38" t="n"/>
    </row>
    <row r="93">
      <c r="A93" s="16">
        <f>IF($B93="","",COUNTA($B$4:$B93))</f>
        <v/>
      </c>
      <c r="B93" s="72" t="n"/>
      <c r="C93" s="46" t="n"/>
      <c r="D93" s="47" t="n"/>
      <c r="E93" s="47" t="n"/>
      <c r="F93" s="47" t="n"/>
      <c r="G93" s="47" t="n"/>
      <c r="H93" s="47" t="n"/>
      <c r="I93" s="47" t="n"/>
      <c r="J93" s="40" t="n"/>
    </row>
    <row r="94">
      <c r="A94" s="16">
        <f>IF($B94="","",COUNTA($B$4:$B94))</f>
        <v/>
      </c>
      <c r="B94" s="71" t="n"/>
      <c r="C94" s="44" t="n"/>
      <c r="D94" s="45" t="n"/>
      <c r="E94" s="45" t="n"/>
      <c r="F94" s="45" t="n"/>
      <c r="G94" s="45" t="n"/>
      <c r="H94" s="45" t="n"/>
      <c r="I94" s="45" t="n"/>
      <c r="J94" s="38" t="n"/>
    </row>
    <row r="95">
      <c r="A95" s="16">
        <f>IF($B95="","",COUNTA($B$4:$B95))</f>
        <v/>
      </c>
      <c r="B95" s="72" t="n"/>
      <c r="C95" s="46" t="n"/>
      <c r="D95" s="47" t="n"/>
      <c r="E95" s="47" t="n"/>
      <c r="F95" s="47" t="n"/>
      <c r="G95" s="47" t="n"/>
      <c r="H95" s="47" t="n"/>
      <c r="I95" s="47" t="n"/>
      <c r="J95" s="40" t="n"/>
    </row>
    <row r="96">
      <c r="A96" s="16">
        <f>IF($B96="","",COUNTA($B$4:$B96))</f>
        <v/>
      </c>
      <c r="B96" s="71" t="n"/>
      <c r="C96" s="44" t="n"/>
      <c r="D96" s="45" t="n"/>
      <c r="E96" s="45" t="n"/>
      <c r="F96" s="45" t="n"/>
      <c r="G96" s="45" t="n"/>
      <c r="H96" s="45" t="n"/>
      <c r="I96" s="45" t="n"/>
      <c r="J96" s="38" t="n"/>
    </row>
    <row r="97">
      <c r="A97" s="16">
        <f>IF($B97="","",COUNTA($B$4:$B97))</f>
        <v/>
      </c>
      <c r="B97" s="72" t="n"/>
      <c r="C97" s="46" t="n"/>
      <c r="D97" s="47" t="n"/>
      <c r="E97" s="47" t="n"/>
      <c r="F97" s="47" t="n"/>
      <c r="G97" s="47" t="n"/>
      <c r="H97" s="47" t="n"/>
      <c r="I97" s="47" t="n"/>
      <c r="J97" s="40" t="n"/>
    </row>
    <row r="98">
      <c r="A98" s="16">
        <f>IF($B98="","",COUNTA($B$4:$B98))</f>
        <v/>
      </c>
      <c r="B98" s="71" t="n"/>
      <c r="C98" s="44" t="n"/>
      <c r="D98" s="45" t="n"/>
      <c r="E98" s="45" t="n"/>
      <c r="F98" s="45" t="n"/>
      <c r="G98" s="45" t="n"/>
      <c r="H98" s="45" t="n"/>
      <c r="I98" s="45" t="n"/>
      <c r="J98" s="38" t="n"/>
    </row>
    <row r="99">
      <c r="A99" s="16">
        <f>IF($B99="","",COUNTA($B$4:$B99))</f>
        <v/>
      </c>
      <c r="B99" s="72" t="n"/>
      <c r="C99" s="46" t="n"/>
      <c r="D99" s="47" t="n"/>
      <c r="E99" s="47" t="n"/>
      <c r="F99" s="47" t="n"/>
      <c r="G99" s="47" t="n"/>
      <c r="H99" s="47" t="n"/>
      <c r="I99" s="47" t="n"/>
      <c r="J99" s="40" t="n"/>
    </row>
    <row r="100">
      <c r="A100" s="16">
        <f>IF($B100="","",COUNTA($B$4:$B100))</f>
        <v/>
      </c>
      <c r="B100" s="71" t="n"/>
      <c r="C100" s="44" t="n"/>
      <c r="D100" s="45" t="n"/>
      <c r="E100" s="45" t="n"/>
      <c r="F100" s="45" t="n"/>
      <c r="G100" s="45" t="n"/>
      <c r="H100" s="45" t="n"/>
      <c r="I100" s="45" t="n"/>
      <c r="J100" s="38" t="n"/>
    </row>
    <row r="101">
      <c r="A101" s="16">
        <f>IF($B101="","",COUNTA($B$4:$B101))</f>
        <v/>
      </c>
      <c r="B101" s="72" t="n"/>
      <c r="C101" s="46" t="n"/>
      <c r="D101" s="47" t="n"/>
      <c r="E101" s="47" t="n"/>
      <c r="F101" s="47" t="n"/>
      <c r="G101" s="47" t="n"/>
      <c r="H101" s="47" t="n"/>
      <c r="I101" s="47" t="n"/>
      <c r="J101" s="40" t="n"/>
    </row>
    <row r="102">
      <c r="A102" s="16">
        <f>IF($B102="","",COUNTA($B$4:$B102))</f>
        <v/>
      </c>
      <c r="B102" s="71" t="n"/>
      <c r="C102" s="44" t="n"/>
      <c r="D102" s="45" t="n"/>
      <c r="E102" s="45" t="n"/>
      <c r="F102" s="45" t="n"/>
      <c r="G102" s="45" t="n"/>
      <c r="H102" s="45" t="n"/>
      <c r="I102" s="45" t="n"/>
      <c r="J102" s="38" t="n"/>
    </row>
    <row r="103">
      <c r="A103" s="16">
        <f>IF($B103="","",COUNTA($B$4:$B103))</f>
        <v/>
      </c>
      <c r="B103" s="72" t="n"/>
      <c r="C103" s="46" t="n"/>
      <c r="D103" s="47" t="n"/>
      <c r="E103" s="47" t="n"/>
      <c r="F103" s="47" t="n"/>
      <c r="G103" s="47" t="n"/>
      <c r="H103" s="47" t="n"/>
      <c r="I103" s="47" t="n"/>
      <c r="J103" s="40" t="n"/>
    </row>
    <row r="104">
      <c r="A104" s="16">
        <f>IF($B104="","",COUNTA($B$4:$B104))</f>
        <v/>
      </c>
      <c r="B104" s="71" t="n"/>
      <c r="C104" s="44" t="n"/>
      <c r="D104" s="45" t="n"/>
      <c r="E104" s="45" t="n"/>
      <c r="F104" s="45" t="n"/>
      <c r="G104" s="45" t="n"/>
      <c r="H104" s="45" t="n"/>
      <c r="I104" s="45" t="n"/>
      <c r="J104" s="38" t="n"/>
    </row>
    <row r="105">
      <c r="A105" s="16">
        <f>IF($B105="","",COUNTA($B$4:$B105))</f>
        <v/>
      </c>
      <c r="B105" s="72" t="n"/>
      <c r="C105" s="46" t="n"/>
      <c r="D105" s="47" t="n"/>
      <c r="E105" s="47" t="n"/>
      <c r="F105" s="47" t="n"/>
      <c r="G105" s="47" t="n"/>
      <c r="H105" s="47" t="n"/>
      <c r="I105" s="47" t="n"/>
      <c r="J105" s="40" t="n"/>
    </row>
    <row r="106">
      <c r="A106" s="16">
        <f>IF($B106="","",COUNTA($B$4:$B106))</f>
        <v/>
      </c>
      <c r="B106" s="71" t="n"/>
      <c r="C106" s="44" t="n"/>
      <c r="D106" s="45" t="n"/>
      <c r="E106" s="45" t="n"/>
      <c r="F106" s="45" t="n"/>
      <c r="G106" s="45" t="n"/>
      <c r="H106" s="45" t="n"/>
      <c r="I106" s="45" t="n"/>
      <c r="J106" s="38" t="n"/>
    </row>
    <row r="107">
      <c r="A107" s="16">
        <f>IF($B107="","",COUNTA($B$4:$B107))</f>
        <v/>
      </c>
      <c r="B107" s="72" t="n"/>
      <c r="C107" s="46" t="n"/>
      <c r="D107" s="47" t="n"/>
      <c r="E107" s="47" t="n"/>
      <c r="F107" s="47" t="n"/>
      <c r="G107" s="47" t="n"/>
      <c r="H107" s="47" t="n"/>
      <c r="I107" s="47" t="n"/>
      <c r="J107" s="40" t="n"/>
    </row>
    <row r="108">
      <c r="A108" s="16">
        <f>IF($B108="","",COUNTA($B$4:$B108))</f>
        <v/>
      </c>
      <c r="B108" s="71" t="n"/>
      <c r="C108" s="44" t="n"/>
      <c r="D108" s="45" t="n"/>
      <c r="E108" s="45" t="n"/>
      <c r="F108" s="45" t="n"/>
      <c r="G108" s="45" t="n"/>
      <c r="H108" s="45" t="n"/>
      <c r="I108" s="45" t="n"/>
      <c r="J108" s="38" t="n"/>
    </row>
    <row r="109">
      <c r="A109" s="16">
        <f>IF($B109="","",COUNTA($B$4:$B109))</f>
        <v/>
      </c>
      <c r="B109" s="72" t="n"/>
      <c r="C109" s="46" t="n"/>
      <c r="D109" s="47" t="n"/>
      <c r="E109" s="47" t="n"/>
      <c r="F109" s="47" t="n"/>
      <c r="G109" s="47" t="n"/>
      <c r="H109" s="47" t="n"/>
      <c r="I109" s="47" t="n"/>
      <c r="J109" s="40" t="n"/>
    </row>
    <row r="110">
      <c r="A110" s="16">
        <f>IF($B110="","",COUNTA($B$4:$B110))</f>
        <v/>
      </c>
      <c r="B110" s="71" t="n"/>
      <c r="C110" s="44" t="n"/>
      <c r="D110" s="45" t="n"/>
      <c r="E110" s="45" t="n"/>
      <c r="F110" s="45" t="n"/>
      <c r="G110" s="45" t="n"/>
      <c r="H110" s="45" t="n"/>
      <c r="I110" s="45" t="n"/>
      <c r="J110" s="38" t="n"/>
    </row>
    <row r="111">
      <c r="A111" s="16">
        <f>IF($B111="","",COUNTA($B$4:$B111))</f>
        <v/>
      </c>
      <c r="B111" s="72" t="n"/>
      <c r="C111" s="46" t="n"/>
      <c r="D111" s="47" t="n"/>
      <c r="E111" s="47" t="n"/>
      <c r="F111" s="47" t="n"/>
      <c r="G111" s="47" t="n"/>
      <c r="H111" s="47" t="n"/>
      <c r="I111" s="47" t="n"/>
      <c r="J111" s="40" t="n"/>
    </row>
    <row r="112">
      <c r="A112" s="16">
        <f>IF($B112="","",COUNTA($B$4:$B112))</f>
        <v/>
      </c>
      <c r="B112" s="71" t="n"/>
      <c r="C112" s="44" t="n"/>
      <c r="D112" s="45" t="n"/>
      <c r="E112" s="45" t="n"/>
      <c r="F112" s="45" t="n"/>
      <c r="G112" s="45" t="n"/>
      <c r="H112" s="45" t="n"/>
      <c r="I112" s="45" t="n"/>
      <c r="J112" s="38" t="n"/>
    </row>
    <row r="113">
      <c r="A113" s="16">
        <f>IF($B113="","",COUNTA($B$4:$B113))</f>
        <v/>
      </c>
      <c r="B113" s="72" t="n"/>
      <c r="C113" s="46" t="n"/>
      <c r="D113" s="47" t="n"/>
      <c r="E113" s="47" t="n"/>
      <c r="F113" s="47" t="n"/>
      <c r="G113" s="47" t="n"/>
      <c r="H113" s="47" t="n"/>
      <c r="I113" s="47" t="n"/>
      <c r="J113" s="40" t="n"/>
    </row>
    <row r="114">
      <c r="A114" s="16">
        <f>IF($B114="","",COUNTA($B$4:$B114))</f>
        <v/>
      </c>
      <c r="B114" s="71" t="n"/>
      <c r="C114" s="44" t="n"/>
      <c r="D114" s="45" t="n"/>
      <c r="E114" s="45" t="n"/>
      <c r="F114" s="45" t="n"/>
      <c r="G114" s="45" t="n"/>
      <c r="H114" s="45" t="n"/>
      <c r="I114" s="45" t="n"/>
      <c r="J114" s="38" t="n"/>
    </row>
    <row r="115">
      <c r="A115" s="16">
        <f>IF($B115="","",COUNTA($B$4:$B115))</f>
        <v/>
      </c>
      <c r="B115" s="72" t="n"/>
      <c r="C115" s="46" t="n"/>
      <c r="D115" s="47" t="n"/>
      <c r="E115" s="47" t="n"/>
      <c r="F115" s="47" t="n"/>
      <c r="G115" s="47" t="n"/>
      <c r="H115" s="47" t="n"/>
      <c r="I115" s="47" t="n"/>
      <c r="J115" s="40" t="n"/>
    </row>
    <row r="116">
      <c r="A116" s="16">
        <f>IF($B116="","",COUNTA($B$4:$B116))</f>
        <v/>
      </c>
      <c r="B116" s="71" t="n"/>
      <c r="C116" s="44" t="n"/>
      <c r="D116" s="45" t="n"/>
      <c r="E116" s="45" t="n"/>
      <c r="F116" s="45" t="n"/>
      <c r="G116" s="45" t="n"/>
      <c r="H116" s="45" t="n"/>
      <c r="I116" s="45" t="n"/>
      <c r="J116" s="38" t="n"/>
    </row>
    <row r="117">
      <c r="A117" s="16">
        <f>IF($B117="","",COUNTA($B$4:$B117))</f>
        <v/>
      </c>
      <c r="B117" s="72" t="n"/>
      <c r="C117" s="46" t="n"/>
      <c r="D117" s="47" t="n"/>
      <c r="E117" s="47" t="n"/>
      <c r="F117" s="47" t="n"/>
      <c r="G117" s="47" t="n"/>
      <c r="H117" s="47" t="n"/>
      <c r="I117" s="47" t="n"/>
      <c r="J117" s="40" t="n"/>
    </row>
    <row r="118">
      <c r="A118" s="16">
        <f>IF($B118="","",COUNTA($B$4:$B118))</f>
        <v/>
      </c>
      <c r="B118" s="71" t="n"/>
      <c r="C118" s="44" t="n"/>
      <c r="D118" s="45" t="n"/>
      <c r="E118" s="45" t="n"/>
      <c r="F118" s="45" t="n"/>
      <c r="G118" s="45" t="n"/>
      <c r="H118" s="45" t="n"/>
      <c r="I118" s="45" t="n"/>
      <c r="J118" s="38" t="n"/>
    </row>
    <row r="119">
      <c r="A119" s="16">
        <f>IF($B119="","",COUNTA($B$4:$B119))</f>
        <v/>
      </c>
      <c r="B119" s="72" t="n"/>
      <c r="C119" s="46" t="n"/>
      <c r="D119" s="47" t="n"/>
      <c r="E119" s="47" t="n"/>
      <c r="F119" s="47" t="n"/>
      <c r="G119" s="47" t="n"/>
      <c r="H119" s="47" t="n"/>
      <c r="I119" s="47" t="n"/>
      <c r="J119" s="40" t="n"/>
    </row>
    <row r="120">
      <c r="A120" s="16">
        <f>IF($B120="","",COUNTA($B$4:$B120))</f>
        <v/>
      </c>
      <c r="B120" s="71" t="n"/>
      <c r="C120" s="44" t="n"/>
      <c r="D120" s="45" t="n"/>
      <c r="E120" s="45" t="n"/>
      <c r="F120" s="45" t="n"/>
      <c r="G120" s="45" t="n"/>
      <c r="H120" s="45" t="n"/>
      <c r="I120" s="45" t="n"/>
      <c r="J120" s="38" t="n"/>
    </row>
    <row r="121">
      <c r="A121" s="16">
        <f>IF($B121="","",COUNTA($B$4:$B121))</f>
        <v/>
      </c>
      <c r="B121" s="72" t="n"/>
      <c r="C121" s="46" t="n"/>
      <c r="D121" s="47" t="n"/>
      <c r="E121" s="47" t="n"/>
      <c r="F121" s="47" t="n"/>
      <c r="G121" s="47" t="n"/>
      <c r="H121" s="47" t="n"/>
      <c r="I121" s="47" t="n"/>
      <c r="J121" s="40" t="n"/>
    </row>
    <row r="122">
      <c r="A122" s="16">
        <f>IF($B122="","",COUNTA($B$4:$B122))</f>
        <v/>
      </c>
      <c r="B122" s="71" t="n"/>
      <c r="C122" s="44" t="n"/>
      <c r="D122" s="45" t="n"/>
      <c r="E122" s="45" t="n"/>
      <c r="F122" s="45" t="n"/>
      <c r="G122" s="45" t="n"/>
      <c r="H122" s="45" t="n"/>
      <c r="I122" s="45" t="n"/>
      <c r="J122" s="38" t="n"/>
    </row>
    <row r="123">
      <c r="A123" s="16">
        <f>IF($B123="","",COUNTA($B$4:$B123))</f>
        <v/>
      </c>
      <c r="B123" s="72" t="n"/>
      <c r="C123" s="46" t="n"/>
      <c r="D123" s="47" t="n"/>
      <c r="E123" s="47" t="n"/>
      <c r="F123" s="47" t="n"/>
      <c r="G123" s="47" t="n"/>
      <c r="H123" s="47" t="n"/>
      <c r="I123" s="47" t="n"/>
      <c r="J123" s="40" t="n"/>
    </row>
    <row r="124">
      <c r="A124" s="16">
        <f>IF($B124="","",COUNTA($B$4:$B124))</f>
        <v/>
      </c>
      <c r="B124" s="71" t="n"/>
      <c r="C124" s="44" t="n"/>
      <c r="D124" s="45" t="n"/>
      <c r="E124" s="45" t="n"/>
      <c r="F124" s="45" t="n"/>
      <c r="G124" s="45" t="n"/>
      <c r="H124" s="45" t="n"/>
      <c r="I124" s="45" t="n"/>
      <c r="J124" s="38" t="n"/>
    </row>
    <row r="125">
      <c r="A125" s="16">
        <f>IF($B125="","",COUNTA($B$4:$B125))</f>
        <v/>
      </c>
      <c r="B125" s="72" t="n"/>
      <c r="C125" s="46" t="n"/>
      <c r="D125" s="47" t="n"/>
      <c r="E125" s="47" t="n"/>
      <c r="F125" s="47" t="n"/>
      <c r="G125" s="47" t="n"/>
      <c r="H125" s="47" t="n"/>
      <c r="I125" s="47" t="n"/>
      <c r="J125" s="40" t="n"/>
    </row>
    <row r="126">
      <c r="A126" s="16">
        <f>IF($B126="","",COUNTA($B$4:$B126))</f>
        <v/>
      </c>
      <c r="B126" s="71" t="n"/>
      <c r="C126" s="44" t="n"/>
      <c r="D126" s="45" t="n"/>
      <c r="E126" s="45" t="n"/>
      <c r="F126" s="45" t="n"/>
      <c r="G126" s="45" t="n"/>
      <c r="H126" s="45" t="n"/>
      <c r="I126" s="45" t="n"/>
      <c r="J126" s="38" t="n"/>
    </row>
    <row r="127">
      <c r="A127" s="16">
        <f>IF($B127="","",COUNTA($B$4:$B127))</f>
        <v/>
      </c>
      <c r="B127" s="72" t="n"/>
      <c r="C127" s="46" t="n"/>
      <c r="D127" s="47" t="n"/>
      <c r="E127" s="47" t="n"/>
      <c r="F127" s="47" t="n"/>
      <c r="G127" s="47" t="n"/>
      <c r="H127" s="47" t="n"/>
      <c r="I127" s="47" t="n"/>
      <c r="J127" s="40" t="n"/>
    </row>
    <row r="128">
      <c r="A128" s="16">
        <f>IF($B128="","",COUNTA($B$4:$B128))</f>
        <v/>
      </c>
      <c r="B128" s="71" t="n"/>
      <c r="C128" s="44" t="n"/>
      <c r="D128" s="45" t="n"/>
      <c r="E128" s="45" t="n"/>
      <c r="F128" s="45" t="n"/>
      <c r="G128" s="45" t="n"/>
      <c r="H128" s="45" t="n"/>
      <c r="I128" s="45" t="n"/>
      <c r="J128" s="38" t="n"/>
    </row>
    <row r="129">
      <c r="A129" s="16">
        <f>IF($B129="","",COUNTA($B$4:$B129))</f>
        <v/>
      </c>
      <c r="B129" s="72" t="n"/>
      <c r="C129" s="46" t="n"/>
      <c r="D129" s="47" t="n"/>
      <c r="E129" s="47" t="n"/>
      <c r="F129" s="47" t="n"/>
      <c r="G129" s="47" t="n"/>
      <c r="H129" s="47" t="n"/>
      <c r="I129" s="47" t="n"/>
      <c r="J129" s="40" t="n"/>
    </row>
    <row r="130">
      <c r="A130" s="16">
        <f>IF($B130="","",COUNTA($B$4:$B130))</f>
        <v/>
      </c>
      <c r="B130" s="71" t="n"/>
      <c r="C130" s="44" t="n"/>
      <c r="D130" s="45" t="n"/>
      <c r="E130" s="45" t="n"/>
      <c r="F130" s="45" t="n"/>
      <c r="G130" s="45" t="n"/>
      <c r="H130" s="45" t="n"/>
      <c r="I130" s="45" t="n"/>
      <c r="J130" s="38" t="n"/>
    </row>
    <row r="131">
      <c r="A131" s="16">
        <f>IF($B131="","",COUNTA($B$4:$B131))</f>
        <v/>
      </c>
      <c r="B131" s="72" t="n"/>
      <c r="C131" s="46" t="n"/>
      <c r="D131" s="47" t="n"/>
      <c r="E131" s="47" t="n"/>
      <c r="F131" s="47" t="n"/>
      <c r="G131" s="47" t="n"/>
      <c r="H131" s="47" t="n"/>
      <c r="I131" s="47" t="n"/>
      <c r="J131" s="40" t="n"/>
    </row>
    <row r="132">
      <c r="A132" s="16">
        <f>IF($B132="","",COUNTA($B$4:$B132))</f>
        <v/>
      </c>
      <c r="B132" s="71" t="n"/>
      <c r="C132" s="44" t="n"/>
      <c r="D132" s="45" t="n"/>
      <c r="E132" s="45" t="n"/>
      <c r="F132" s="45" t="n"/>
      <c r="G132" s="45" t="n"/>
      <c r="H132" s="45" t="n"/>
      <c r="I132" s="45" t="n"/>
      <c r="J132" s="38" t="n"/>
    </row>
    <row r="133">
      <c r="A133" s="16">
        <f>IF($B133="","",COUNTA($B$4:$B133))</f>
        <v/>
      </c>
      <c r="B133" s="72" t="n"/>
      <c r="C133" s="46" t="n"/>
      <c r="D133" s="47" t="n"/>
      <c r="E133" s="47" t="n"/>
      <c r="F133" s="47" t="n"/>
      <c r="G133" s="47" t="n"/>
      <c r="H133" s="47" t="n"/>
      <c r="I133" s="47" t="n"/>
      <c r="J133" s="40" t="n"/>
    </row>
    <row r="134">
      <c r="A134" s="16">
        <f>IF($B134="","",COUNTA($B$4:$B134))</f>
        <v/>
      </c>
      <c r="B134" s="71" t="n"/>
      <c r="C134" s="44" t="n"/>
      <c r="D134" s="45" t="n"/>
      <c r="E134" s="45" t="n"/>
      <c r="F134" s="45" t="n"/>
      <c r="G134" s="45" t="n"/>
      <c r="H134" s="45" t="n"/>
      <c r="I134" s="45" t="n"/>
      <c r="J134" s="38" t="n"/>
    </row>
    <row r="135">
      <c r="A135" s="16">
        <f>IF($B135="","",COUNTA($B$4:$B135))</f>
        <v/>
      </c>
      <c r="B135" s="72" t="n"/>
      <c r="C135" s="46" t="n"/>
      <c r="D135" s="47" t="n"/>
      <c r="E135" s="47" t="n"/>
      <c r="F135" s="47" t="n"/>
      <c r="G135" s="47" t="n"/>
      <c r="H135" s="47" t="n"/>
      <c r="I135" s="47" t="n"/>
      <c r="J135" s="40" t="n"/>
    </row>
    <row r="136">
      <c r="A136" s="16">
        <f>IF($B136="","",COUNTA($B$4:$B136))</f>
        <v/>
      </c>
      <c r="B136" s="71" t="n"/>
      <c r="C136" s="44" t="n"/>
      <c r="D136" s="45" t="n"/>
      <c r="E136" s="45" t="n"/>
      <c r="F136" s="45" t="n"/>
      <c r="G136" s="45" t="n"/>
      <c r="H136" s="45" t="n"/>
      <c r="I136" s="45" t="n"/>
      <c r="J136" s="38" t="n"/>
    </row>
    <row r="137">
      <c r="A137" s="16">
        <f>IF($B137="","",COUNTA($B$4:$B137))</f>
        <v/>
      </c>
      <c r="B137" s="72" t="n"/>
      <c r="C137" s="46" t="n"/>
      <c r="D137" s="47" t="n"/>
      <c r="E137" s="47" t="n"/>
      <c r="F137" s="47" t="n"/>
      <c r="G137" s="47" t="n"/>
      <c r="H137" s="47" t="n"/>
      <c r="I137" s="47" t="n"/>
      <c r="J137" s="40" t="n"/>
    </row>
    <row r="138">
      <c r="A138" s="16">
        <f>IF($B138="","",COUNTA($B$4:$B138))</f>
        <v/>
      </c>
      <c r="B138" s="71" t="n"/>
      <c r="C138" s="44" t="n"/>
      <c r="D138" s="45" t="n"/>
      <c r="E138" s="45" t="n"/>
      <c r="F138" s="45" t="n"/>
      <c r="G138" s="45" t="n"/>
      <c r="H138" s="45" t="n"/>
      <c r="I138" s="45" t="n"/>
      <c r="J138" s="38" t="n"/>
    </row>
    <row r="139">
      <c r="A139" s="16">
        <f>IF($B139="","",COUNTA($B$4:$B139))</f>
        <v/>
      </c>
      <c r="B139" s="72" t="n"/>
      <c r="C139" s="46" t="n"/>
      <c r="D139" s="47" t="n"/>
      <c r="E139" s="47" t="n"/>
      <c r="F139" s="47" t="n"/>
      <c r="G139" s="47" t="n"/>
      <c r="H139" s="47" t="n"/>
      <c r="I139" s="47" t="n"/>
      <c r="J139" s="40" t="n"/>
    </row>
    <row r="140">
      <c r="A140" s="16">
        <f>IF($B140="","",COUNTA($B$4:$B140))</f>
        <v/>
      </c>
      <c r="B140" s="71" t="n"/>
      <c r="C140" s="44" t="n"/>
      <c r="D140" s="45" t="n"/>
      <c r="E140" s="45" t="n"/>
      <c r="F140" s="45" t="n"/>
      <c r="G140" s="45" t="n"/>
      <c r="H140" s="45" t="n"/>
      <c r="I140" s="45" t="n"/>
      <c r="J140" s="38" t="n"/>
    </row>
    <row r="141">
      <c r="A141" s="16">
        <f>IF($B141="","",COUNTA($B$4:$B141))</f>
        <v/>
      </c>
      <c r="B141" s="72" t="n"/>
      <c r="C141" s="46" t="n"/>
      <c r="D141" s="47" t="n"/>
      <c r="E141" s="47" t="n"/>
      <c r="F141" s="47" t="n"/>
      <c r="G141" s="47" t="n"/>
      <c r="H141" s="47" t="n"/>
      <c r="I141" s="47" t="n"/>
      <c r="J141" s="40" t="n"/>
    </row>
    <row r="142">
      <c r="A142" s="16">
        <f>IF($B142="","",COUNTA($B$4:$B142))</f>
        <v/>
      </c>
      <c r="B142" s="71" t="n"/>
      <c r="C142" s="44" t="n"/>
      <c r="D142" s="45" t="n"/>
      <c r="E142" s="45" t="n"/>
      <c r="F142" s="45" t="n"/>
      <c r="G142" s="45" t="n"/>
      <c r="H142" s="45" t="n"/>
      <c r="I142" s="45" t="n"/>
      <c r="J142" s="38" t="n"/>
    </row>
    <row r="143">
      <c r="A143" s="16">
        <f>IF($B143="","",COUNTA($B$4:$B143))</f>
        <v/>
      </c>
      <c r="B143" s="72" t="n"/>
      <c r="C143" s="46" t="n"/>
      <c r="D143" s="47" t="n"/>
      <c r="E143" s="47" t="n"/>
      <c r="F143" s="47" t="n"/>
      <c r="G143" s="47" t="n"/>
      <c r="H143" s="47" t="n"/>
      <c r="I143" s="47" t="n"/>
      <c r="J143" s="40" t="n"/>
    </row>
    <row r="144">
      <c r="A144" s="16">
        <f>IF($B144="","",COUNTA($B$4:$B144))</f>
        <v/>
      </c>
      <c r="B144" s="71" t="n"/>
      <c r="C144" s="44" t="n"/>
      <c r="D144" s="45" t="n"/>
      <c r="E144" s="45" t="n"/>
      <c r="F144" s="45" t="n"/>
      <c r="G144" s="45" t="n"/>
      <c r="H144" s="45" t="n"/>
      <c r="I144" s="45" t="n"/>
      <c r="J144" s="38" t="n"/>
    </row>
    <row r="145">
      <c r="A145" s="16">
        <f>IF($B145="","",COUNTA($B$4:$B145))</f>
        <v/>
      </c>
      <c r="B145" s="72" t="n"/>
      <c r="C145" s="46" t="n"/>
      <c r="D145" s="47" t="n"/>
      <c r="E145" s="47" t="n"/>
      <c r="F145" s="47" t="n"/>
      <c r="G145" s="47" t="n"/>
      <c r="H145" s="47" t="n"/>
      <c r="I145" s="47" t="n"/>
      <c r="J145" s="40" t="n"/>
    </row>
    <row r="146">
      <c r="A146" s="16">
        <f>IF($B146="","",COUNTA($B$4:$B146))</f>
        <v/>
      </c>
      <c r="B146" s="71" t="n"/>
      <c r="C146" s="44" t="n"/>
      <c r="D146" s="45" t="n"/>
      <c r="E146" s="45" t="n"/>
      <c r="F146" s="45" t="n"/>
      <c r="G146" s="45" t="n"/>
      <c r="H146" s="45" t="n"/>
      <c r="I146" s="45" t="n"/>
      <c r="J146" s="38" t="n"/>
    </row>
    <row r="147">
      <c r="A147" s="16">
        <f>IF($B147="","",COUNTA($B$4:$B147))</f>
        <v/>
      </c>
      <c r="B147" s="72" t="n"/>
      <c r="C147" s="46" t="n"/>
      <c r="D147" s="47" t="n"/>
      <c r="E147" s="47" t="n"/>
      <c r="F147" s="47" t="n"/>
      <c r="G147" s="47" t="n"/>
      <c r="H147" s="47" t="n"/>
      <c r="I147" s="47" t="n"/>
      <c r="J147" s="40" t="n"/>
    </row>
    <row r="148">
      <c r="A148" s="16">
        <f>IF($B148="","",COUNTA($B$4:$B148))</f>
        <v/>
      </c>
      <c r="B148" s="71" t="n"/>
      <c r="C148" s="44" t="n"/>
      <c r="D148" s="45" t="n"/>
      <c r="E148" s="45" t="n"/>
      <c r="F148" s="45" t="n"/>
      <c r="G148" s="45" t="n"/>
      <c r="H148" s="45" t="n"/>
      <c r="I148" s="45" t="n"/>
      <c r="J148" s="38" t="n"/>
    </row>
    <row r="149">
      <c r="A149" s="16">
        <f>IF($B149="","",COUNTA($B$4:$B149))</f>
        <v/>
      </c>
      <c r="B149" s="72" t="n"/>
      <c r="C149" s="46" t="n"/>
      <c r="D149" s="47" t="n"/>
      <c r="E149" s="47" t="n"/>
      <c r="F149" s="47" t="n"/>
      <c r="G149" s="47" t="n"/>
      <c r="H149" s="47" t="n"/>
      <c r="I149" s="47" t="n"/>
      <c r="J149" s="40" t="n"/>
    </row>
    <row r="150">
      <c r="A150" s="16">
        <f>IF($B150="","",COUNTA($B$4:$B150))</f>
        <v/>
      </c>
      <c r="B150" s="71" t="n"/>
      <c r="C150" s="44" t="n"/>
      <c r="D150" s="45" t="n"/>
      <c r="E150" s="45" t="n"/>
      <c r="F150" s="45" t="n"/>
      <c r="G150" s="45" t="n"/>
      <c r="H150" s="45" t="n"/>
      <c r="I150" s="45" t="n"/>
      <c r="J150" s="38" t="n"/>
    </row>
    <row r="151">
      <c r="A151" s="16">
        <f>IF($B151="","",COUNTA($B$4:$B151))</f>
        <v/>
      </c>
      <c r="B151" s="72" t="n"/>
      <c r="C151" s="46" t="n"/>
      <c r="D151" s="47" t="n"/>
      <c r="E151" s="47" t="n"/>
      <c r="F151" s="47" t="n"/>
      <c r="G151" s="47" t="n"/>
      <c r="H151" s="47" t="n"/>
      <c r="I151" s="47" t="n"/>
      <c r="J151" s="40" t="n"/>
    </row>
    <row r="152">
      <c r="A152" s="16">
        <f>IF($B152="","",COUNTA($B$4:$B152))</f>
        <v/>
      </c>
      <c r="B152" s="71" t="n"/>
      <c r="C152" s="44" t="n"/>
      <c r="D152" s="45" t="n"/>
      <c r="E152" s="45" t="n"/>
      <c r="F152" s="45" t="n"/>
      <c r="G152" s="45" t="n"/>
      <c r="H152" s="45" t="n"/>
      <c r="I152" s="45" t="n"/>
      <c r="J152" s="38" t="n"/>
    </row>
    <row r="153">
      <c r="A153" s="16">
        <f>IF($B153="","",COUNTA($B$4:$B153))</f>
        <v/>
      </c>
      <c r="B153" s="72" t="n"/>
      <c r="C153" s="46" t="n"/>
      <c r="D153" s="47" t="n"/>
      <c r="E153" s="47" t="n"/>
      <c r="F153" s="47" t="n"/>
      <c r="G153" s="47" t="n"/>
      <c r="H153" s="47" t="n"/>
      <c r="I153" s="47" t="n"/>
      <c r="J153" s="40" t="n"/>
    </row>
    <row r="154">
      <c r="A154" s="16">
        <f>IF($B154="","",COUNTA($B$4:$B154))</f>
        <v/>
      </c>
      <c r="B154" s="71" t="n"/>
      <c r="C154" s="44" t="n"/>
      <c r="D154" s="45" t="n"/>
      <c r="E154" s="45" t="n"/>
      <c r="F154" s="45" t="n"/>
      <c r="G154" s="45" t="n"/>
      <c r="H154" s="45" t="n"/>
      <c r="I154" s="45" t="n"/>
      <c r="J154" s="38" t="n"/>
    </row>
    <row r="155">
      <c r="A155" s="16">
        <f>IF($B155="","",COUNTA($B$4:$B155))</f>
        <v/>
      </c>
      <c r="B155" s="72" t="n"/>
      <c r="C155" s="46" t="n"/>
      <c r="D155" s="47" t="n"/>
      <c r="E155" s="47" t="n"/>
      <c r="F155" s="47" t="n"/>
      <c r="G155" s="47" t="n"/>
      <c r="H155" s="47" t="n"/>
      <c r="I155" s="47" t="n"/>
      <c r="J155" s="40" t="n"/>
    </row>
    <row r="156">
      <c r="A156" s="16">
        <f>IF($B156="","",COUNTA($B$4:$B156))</f>
        <v/>
      </c>
      <c r="B156" s="71" t="n"/>
      <c r="C156" s="44" t="n"/>
      <c r="D156" s="45" t="n"/>
      <c r="E156" s="45" t="n"/>
      <c r="F156" s="45" t="n"/>
      <c r="G156" s="45" t="n"/>
      <c r="H156" s="45" t="n"/>
      <c r="I156" s="45" t="n"/>
      <c r="J156" s="38" t="n"/>
    </row>
    <row r="157">
      <c r="A157" s="16">
        <f>IF($B157="","",COUNTA($B$4:$B157))</f>
        <v/>
      </c>
      <c r="B157" s="72" t="n"/>
      <c r="C157" s="46" t="n"/>
      <c r="D157" s="47" t="n"/>
      <c r="E157" s="47" t="n"/>
      <c r="F157" s="47" t="n"/>
      <c r="G157" s="47" t="n"/>
      <c r="H157" s="47" t="n"/>
      <c r="I157" s="47" t="n"/>
      <c r="J157" s="40" t="n"/>
    </row>
    <row r="158">
      <c r="A158" s="16">
        <f>IF($B158="","",COUNTA($B$4:$B158))</f>
        <v/>
      </c>
      <c r="B158" s="71" t="n"/>
      <c r="C158" s="44" t="n"/>
      <c r="D158" s="45" t="n"/>
      <c r="E158" s="45" t="n"/>
      <c r="F158" s="45" t="n"/>
      <c r="G158" s="45" t="n"/>
      <c r="H158" s="45" t="n"/>
      <c r="I158" s="45" t="n"/>
      <c r="J158" s="38" t="n"/>
    </row>
    <row r="159">
      <c r="A159" s="16">
        <f>IF($B159="","",COUNTA($B$4:$B159))</f>
        <v/>
      </c>
      <c r="B159" s="72" t="n"/>
      <c r="C159" s="46" t="n"/>
      <c r="D159" s="47" t="n"/>
      <c r="E159" s="47" t="n"/>
      <c r="F159" s="47" t="n"/>
      <c r="G159" s="47" t="n"/>
      <c r="H159" s="47" t="n"/>
      <c r="I159" s="47" t="n"/>
      <c r="J159" s="40" t="n"/>
    </row>
    <row r="160">
      <c r="A160" s="16">
        <f>IF($B160="","",COUNTA($B$4:$B160))</f>
        <v/>
      </c>
      <c r="B160" s="71" t="n"/>
      <c r="C160" s="44" t="n"/>
      <c r="D160" s="45" t="n"/>
      <c r="E160" s="45" t="n"/>
      <c r="F160" s="45" t="n"/>
      <c r="G160" s="45" t="n"/>
      <c r="H160" s="45" t="n"/>
      <c r="I160" s="45" t="n"/>
      <c r="J160" s="38" t="n"/>
    </row>
    <row r="161">
      <c r="A161" s="16">
        <f>IF($B161="","",COUNTA($B$4:$B161))</f>
        <v/>
      </c>
      <c r="B161" s="72" t="n"/>
      <c r="C161" s="46" t="n"/>
      <c r="D161" s="47" t="n"/>
      <c r="E161" s="47" t="n"/>
      <c r="F161" s="47" t="n"/>
      <c r="G161" s="47" t="n"/>
      <c r="H161" s="47" t="n"/>
      <c r="I161" s="47" t="n"/>
      <c r="J161" s="40" t="n"/>
    </row>
    <row r="162">
      <c r="A162" s="16">
        <f>IF($B162="","",COUNTA($B$4:$B162))</f>
        <v/>
      </c>
      <c r="B162" s="71" t="n"/>
      <c r="C162" s="44" t="n"/>
      <c r="D162" s="45" t="n"/>
      <c r="E162" s="45" t="n"/>
      <c r="F162" s="45" t="n"/>
      <c r="G162" s="45" t="n"/>
      <c r="H162" s="45" t="n"/>
      <c r="I162" s="45" t="n"/>
      <c r="J162" s="38" t="n"/>
    </row>
    <row r="163">
      <c r="A163" s="16">
        <f>IF($B163="","",COUNTA($B$4:$B163))</f>
        <v/>
      </c>
      <c r="B163" s="72" t="n"/>
      <c r="C163" s="46" t="n"/>
      <c r="D163" s="47" t="n"/>
      <c r="E163" s="47" t="n"/>
      <c r="F163" s="47" t="n"/>
      <c r="G163" s="47" t="n"/>
      <c r="H163" s="47" t="n"/>
      <c r="I163" s="47" t="n"/>
      <c r="J163" s="40" t="n"/>
    </row>
    <row r="164">
      <c r="A164" s="16">
        <f>IF($B164="","",COUNTA($B$4:$B164))</f>
        <v/>
      </c>
      <c r="B164" s="71" t="n"/>
      <c r="C164" s="44" t="n"/>
      <c r="D164" s="45" t="n"/>
      <c r="E164" s="45" t="n"/>
      <c r="F164" s="45" t="n"/>
      <c r="G164" s="45" t="n"/>
      <c r="H164" s="45" t="n"/>
      <c r="I164" s="45" t="n"/>
      <c r="J164" s="38" t="n"/>
    </row>
    <row r="165">
      <c r="A165" s="16">
        <f>IF($B165="","",COUNTA($B$4:$B165))</f>
        <v/>
      </c>
      <c r="B165" s="72" t="n"/>
      <c r="C165" s="46" t="n"/>
      <c r="D165" s="47" t="n"/>
      <c r="E165" s="47" t="n"/>
      <c r="F165" s="47" t="n"/>
      <c r="G165" s="47" t="n"/>
      <c r="H165" s="47" t="n"/>
      <c r="I165" s="47" t="n"/>
      <c r="J165" s="40" t="n"/>
    </row>
    <row r="166">
      <c r="A166" s="16">
        <f>IF($B166="","",COUNTA($B$4:$B166))</f>
        <v/>
      </c>
      <c r="B166" s="71" t="n"/>
      <c r="C166" s="44" t="n"/>
      <c r="D166" s="45" t="n"/>
      <c r="E166" s="45" t="n"/>
      <c r="F166" s="45" t="n"/>
      <c r="G166" s="45" t="n"/>
      <c r="H166" s="45" t="n"/>
      <c r="I166" s="45" t="n"/>
      <c r="J166" s="38" t="n"/>
    </row>
    <row r="167">
      <c r="A167" s="16">
        <f>IF($B167="","",COUNTA($B$4:$B167))</f>
        <v/>
      </c>
      <c r="B167" s="72" t="n"/>
      <c r="C167" s="46" t="n"/>
      <c r="D167" s="47" t="n"/>
      <c r="E167" s="47" t="n"/>
      <c r="F167" s="47" t="n"/>
      <c r="G167" s="47" t="n"/>
      <c r="H167" s="47" t="n"/>
      <c r="I167" s="47" t="n"/>
      <c r="J167" s="40" t="n"/>
    </row>
    <row r="168">
      <c r="A168" s="16">
        <f>IF($B168="","",COUNTA($B$4:$B168))</f>
        <v/>
      </c>
      <c r="B168" s="71" t="n"/>
      <c r="C168" s="44" t="n"/>
      <c r="D168" s="45" t="n"/>
      <c r="E168" s="45" t="n"/>
      <c r="F168" s="45" t="n"/>
      <c r="G168" s="45" t="n"/>
      <c r="H168" s="45" t="n"/>
      <c r="I168" s="45" t="n"/>
      <c r="J168" s="38" t="n"/>
    </row>
    <row r="169">
      <c r="A169" s="16">
        <f>IF($B169="","",COUNTA($B$4:$B169))</f>
        <v/>
      </c>
      <c r="B169" s="72" t="n"/>
      <c r="C169" s="46" t="n"/>
      <c r="D169" s="47" t="n"/>
      <c r="E169" s="47" t="n"/>
      <c r="F169" s="47" t="n"/>
      <c r="G169" s="47" t="n"/>
      <c r="H169" s="47" t="n"/>
      <c r="I169" s="47" t="n"/>
      <c r="J169" s="40" t="n"/>
    </row>
    <row r="170">
      <c r="A170" s="16">
        <f>IF($B170="","",COUNTA($B$4:$B170))</f>
        <v/>
      </c>
      <c r="B170" s="71" t="n"/>
      <c r="C170" s="44" t="n"/>
      <c r="D170" s="45" t="n"/>
      <c r="E170" s="45" t="n"/>
      <c r="F170" s="45" t="n"/>
      <c r="G170" s="45" t="n"/>
      <c r="H170" s="45" t="n"/>
      <c r="I170" s="45" t="n"/>
      <c r="J170" s="38" t="n"/>
    </row>
    <row r="171">
      <c r="A171" s="16">
        <f>IF($B171="","",COUNTA($B$4:$B171))</f>
        <v/>
      </c>
      <c r="B171" s="72" t="n"/>
      <c r="C171" s="46" t="n"/>
      <c r="D171" s="47" t="n"/>
      <c r="E171" s="47" t="n"/>
      <c r="F171" s="47" t="n"/>
      <c r="G171" s="47" t="n"/>
      <c r="H171" s="47" t="n"/>
      <c r="I171" s="47" t="n"/>
      <c r="J171" s="40" t="n"/>
    </row>
    <row r="172">
      <c r="A172" s="16">
        <f>IF($B172="","",COUNTA($B$4:$B172))</f>
        <v/>
      </c>
      <c r="B172" s="71" t="n"/>
      <c r="C172" s="44" t="n"/>
      <c r="D172" s="45" t="n"/>
      <c r="E172" s="45" t="n"/>
      <c r="F172" s="45" t="n"/>
      <c r="G172" s="45" t="n"/>
      <c r="H172" s="45" t="n"/>
      <c r="I172" s="45" t="n"/>
      <c r="J172" s="38" t="n"/>
    </row>
    <row r="173">
      <c r="A173" s="16">
        <f>IF($B173="","",COUNTA($B$4:$B173))</f>
        <v/>
      </c>
      <c r="B173" s="72" t="n"/>
      <c r="C173" s="46" t="n"/>
      <c r="D173" s="47" t="n"/>
      <c r="E173" s="47" t="n"/>
      <c r="F173" s="47" t="n"/>
      <c r="G173" s="47" t="n"/>
      <c r="H173" s="47" t="n"/>
      <c r="I173" s="47" t="n"/>
      <c r="J173" s="40" t="n"/>
    </row>
    <row r="174">
      <c r="A174" s="16">
        <f>IF($B174="","",COUNTA($B$4:$B174))</f>
        <v/>
      </c>
      <c r="B174" s="71" t="n"/>
      <c r="C174" s="44" t="n"/>
      <c r="D174" s="45" t="n"/>
      <c r="E174" s="45" t="n"/>
      <c r="F174" s="45" t="n"/>
      <c r="G174" s="45" t="n"/>
      <c r="H174" s="45" t="n"/>
      <c r="I174" s="45" t="n"/>
      <c r="J174" s="38" t="n"/>
    </row>
    <row r="175">
      <c r="A175" s="16">
        <f>IF($B175="","",COUNTA($B$4:$B175))</f>
        <v/>
      </c>
      <c r="B175" s="72" t="n"/>
      <c r="C175" s="46" t="n"/>
      <c r="D175" s="47" t="n"/>
      <c r="E175" s="47" t="n"/>
      <c r="F175" s="47" t="n"/>
      <c r="G175" s="47" t="n"/>
      <c r="H175" s="47" t="n"/>
      <c r="I175" s="47" t="n"/>
      <c r="J175" s="40" t="n"/>
    </row>
    <row r="176">
      <c r="A176" s="16">
        <f>IF($B176="","",COUNTA($B$4:$B176))</f>
        <v/>
      </c>
      <c r="B176" s="71" t="n"/>
      <c r="C176" s="44" t="n"/>
      <c r="D176" s="45" t="n"/>
      <c r="E176" s="45" t="n"/>
      <c r="F176" s="45" t="n"/>
      <c r="G176" s="45" t="n"/>
      <c r="H176" s="45" t="n"/>
      <c r="I176" s="45" t="n"/>
      <c r="J176" s="38" t="n"/>
    </row>
    <row r="177">
      <c r="A177" s="16">
        <f>IF($B177="","",COUNTA($B$4:$B177))</f>
        <v/>
      </c>
      <c r="B177" s="72" t="n"/>
      <c r="C177" s="46" t="n"/>
      <c r="D177" s="47" t="n"/>
      <c r="E177" s="47" t="n"/>
      <c r="F177" s="47" t="n"/>
      <c r="G177" s="47" t="n"/>
      <c r="H177" s="47" t="n"/>
      <c r="I177" s="47" t="n"/>
      <c r="J177" s="40" t="n"/>
    </row>
    <row r="178">
      <c r="A178" s="16">
        <f>IF($B178="","",COUNTA($B$4:$B178))</f>
        <v/>
      </c>
      <c r="B178" s="71" t="n"/>
      <c r="C178" s="44" t="n"/>
      <c r="D178" s="45" t="n"/>
      <c r="E178" s="45" t="n"/>
      <c r="F178" s="45" t="n"/>
      <c r="G178" s="45" t="n"/>
      <c r="H178" s="45" t="n"/>
      <c r="I178" s="45" t="n"/>
      <c r="J178" s="38" t="n"/>
    </row>
    <row r="179">
      <c r="A179" s="16">
        <f>IF($B179="","",COUNTA($B$4:$B179))</f>
        <v/>
      </c>
      <c r="B179" s="72" t="n"/>
      <c r="C179" s="46" t="n"/>
      <c r="D179" s="47" t="n"/>
      <c r="E179" s="47" t="n"/>
      <c r="F179" s="47" t="n"/>
      <c r="G179" s="47" t="n"/>
      <c r="H179" s="47" t="n"/>
      <c r="I179" s="47" t="n"/>
      <c r="J179" s="40" t="n"/>
    </row>
    <row r="180">
      <c r="A180" s="16">
        <f>IF($B180="","",COUNTA($B$4:$B180))</f>
        <v/>
      </c>
      <c r="B180" s="71" t="n"/>
      <c r="C180" s="44" t="n"/>
      <c r="D180" s="45" t="n"/>
      <c r="E180" s="45" t="n"/>
      <c r="F180" s="45" t="n"/>
      <c r="G180" s="45" t="n"/>
      <c r="H180" s="45" t="n"/>
      <c r="I180" s="45" t="n"/>
      <c r="J180" s="38" t="n"/>
    </row>
    <row r="181">
      <c r="A181" s="16">
        <f>IF($B181="","",COUNTA($B$4:$B181))</f>
        <v/>
      </c>
      <c r="B181" s="72" t="n"/>
      <c r="C181" s="46" t="n"/>
      <c r="D181" s="47" t="n"/>
      <c r="E181" s="47" t="n"/>
      <c r="F181" s="47" t="n"/>
      <c r="G181" s="47" t="n"/>
      <c r="H181" s="47" t="n"/>
      <c r="I181" s="47" t="n"/>
      <c r="J181" s="40" t="n"/>
    </row>
    <row r="182">
      <c r="A182" s="16">
        <f>IF($B182="","",COUNTA($B$4:$B182))</f>
        <v/>
      </c>
      <c r="B182" s="71" t="n"/>
      <c r="C182" s="44" t="n"/>
      <c r="D182" s="45" t="n"/>
      <c r="E182" s="45" t="n"/>
      <c r="F182" s="45" t="n"/>
      <c r="G182" s="45" t="n"/>
      <c r="H182" s="45" t="n"/>
      <c r="I182" s="45" t="n"/>
      <c r="J182" s="38" t="n"/>
    </row>
    <row r="183">
      <c r="A183" s="16">
        <f>IF($B183="","",COUNTA($B$4:$B183))</f>
        <v/>
      </c>
      <c r="B183" s="72" t="n"/>
      <c r="C183" s="46" t="n"/>
      <c r="D183" s="47" t="n"/>
      <c r="E183" s="47" t="n"/>
      <c r="F183" s="47" t="n"/>
      <c r="G183" s="47" t="n"/>
      <c r="H183" s="47" t="n"/>
      <c r="I183" s="47" t="n"/>
      <c r="J183" s="40" t="n"/>
    </row>
    <row r="184">
      <c r="A184" s="16">
        <f>IF($B184="","",COUNTA($B$4:$B184))</f>
        <v/>
      </c>
      <c r="B184" s="71" t="n"/>
      <c r="C184" s="44" t="n"/>
      <c r="D184" s="45" t="n"/>
      <c r="E184" s="45" t="n"/>
      <c r="F184" s="45" t="n"/>
      <c r="G184" s="45" t="n"/>
      <c r="H184" s="45" t="n"/>
      <c r="I184" s="45" t="n"/>
      <c r="J184" s="38" t="n"/>
    </row>
    <row r="185">
      <c r="A185" s="16">
        <f>IF($B185="","",COUNTA($B$4:$B185))</f>
        <v/>
      </c>
      <c r="B185" s="72" t="n"/>
      <c r="C185" s="46" t="n"/>
      <c r="D185" s="47" t="n"/>
      <c r="E185" s="47" t="n"/>
      <c r="F185" s="47" t="n"/>
      <c r="G185" s="47" t="n"/>
      <c r="H185" s="47" t="n"/>
      <c r="I185" s="47" t="n"/>
      <c r="J185" s="40" t="n"/>
    </row>
    <row r="186">
      <c r="A186" s="16">
        <f>IF($B186="","",COUNTA($B$4:$B186))</f>
        <v/>
      </c>
      <c r="B186" s="71" t="n"/>
      <c r="C186" s="44" t="n"/>
      <c r="D186" s="45" t="n"/>
      <c r="E186" s="45" t="n"/>
      <c r="F186" s="45" t="n"/>
      <c r="G186" s="45" t="n"/>
      <c r="H186" s="45" t="n"/>
      <c r="I186" s="45" t="n"/>
      <c r="J186" s="38" t="n"/>
    </row>
    <row r="187">
      <c r="A187" s="16">
        <f>IF($B187="","",COUNTA($B$4:$B187))</f>
        <v/>
      </c>
      <c r="B187" s="72" t="n"/>
      <c r="C187" s="46" t="n"/>
      <c r="D187" s="47" t="n"/>
      <c r="E187" s="47" t="n"/>
      <c r="F187" s="47" t="n"/>
      <c r="G187" s="47" t="n"/>
      <c r="H187" s="47" t="n"/>
      <c r="I187" s="47" t="n"/>
      <c r="J187" s="40" t="n"/>
    </row>
    <row r="188">
      <c r="A188" s="16">
        <f>IF($B188="","",COUNTA($B$4:$B188))</f>
        <v/>
      </c>
      <c r="B188" s="71" t="n"/>
      <c r="C188" s="44" t="n"/>
      <c r="D188" s="45" t="n"/>
      <c r="E188" s="45" t="n"/>
      <c r="F188" s="45" t="n"/>
      <c r="G188" s="45" t="n"/>
      <c r="H188" s="45" t="n"/>
      <c r="I188" s="45" t="n"/>
      <c r="J188" s="38" t="n"/>
    </row>
    <row r="189">
      <c r="A189" s="16">
        <f>IF($B189="","",COUNTA($B$4:$B189))</f>
        <v/>
      </c>
      <c r="B189" s="72" t="n"/>
      <c r="C189" s="46" t="n"/>
      <c r="D189" s="47" t="n"/>
      <c r="E189" s="47" t="n"/>
      <c r="F189" s="47" t="n"/>
      <c r="G189" s="47" t="n"/>
      <c r="H189" s="47" t="n"/>
      <c r="I189" s="47" t="n"/>
      <c r="J189" s="40" t="n"/>
    </row>
    <row r="190">
      <c r="A190" s="16">
        <f>IF($B190="","",COUNTA($B$4:$B190))</f>
        <v/>
      </c>
      <c r="B190" s="71" t="n"/>
      <c r="C190" s="44" t="n"/>
      <c r="D190" s="45" t="n"/>
      <c r="E190" s="45" t="n"/>
      <c r="F190" s="45" t="n"/>
      <c r="G190" s="45" t="n"/>
      <c r="H190" s="45" t="n"/>
      <c r="I190" s="45" t="n"/>
      <c r="J190" s="38" t="n"/>
    </row>
    <row r="191">
      <c r="A191" s="16">
        <f>IF($B191="","",COUNTA($B$4:$B191))</f>
        <v/>
      </c>
      <c r="B191" s="72" t="n"/>
      <c r="C191" s="46" t="n"/>
      <c r="D191" s="47" t="n"/>
      <c r="E191" s="47" t="n"/>
      <c r="F191" s="47" t="n"/>
      <c r="G191" s="47" t="n"/>
      <c r="H191" s="47" t="n"/>
      <c r="I191" s="47" t="n"/>
      <c r="J191" s="40" t="n"/>
    </row>
    <row r="192">
      <c r="A192" s="16">
        <f>IF($B192="","",COUNTA($B$4:$B192))</f>
        <v/>
      </c>
      <c r="B192" s="71" t="n"/>
      <c r="C192" s="44" t="n"/>
      <c r="D192" s="45" t="n"/>
      <c r="E192" s="45" t="n"/>
      <c r="F192" s="45" t="n"/>
      <c r="G192" s="45" t="n"/>
      <c r="H192" s="45" t="n"/>
      <c r="I192" s="45" t="n"/>
      <c r="J192" s="38" t="n"/>
    </row>
    <row r="193">
      <c r="A193" s="16">
        <f>IF($B193="","",COUNTA($B$4:$B193))</f>
        <v/>
      </c>
      <c r="B193" s="72" t="n"/>
      <c r="C193" s="46" t="n"/>
      <c r="D193" s="47" t="n"/>
      <c r="E193" s="47" t="n"/>
      <c r="F193" s="47" t="n"/>
      <c r="G193" s="47" t="n"/>
      <c r="H193" s="47" t="n"/>
      <c r="I193" s="47" t="n"/>
      <c r="J193" s="40" t="n"/>
    </row>
    <row r="194">
      <c r="A194" s="16">
        <f>IF($B194="","",COUNTA($B$4:$B194))</f>
        <v/>
      </c>
      <c r="B194" s="71" t="n"/>
      <c r="C194" s="44" t="n"/>
      <c r="D194" s="45" t="n"/>
      <c r="E194" s="45" t="n"/>
      <c r="F194" s="45" t="n"/>
      <c r="G194" s="45" t="n"/>
      <c r="H194" s="45" t="n"/>
      <c r="I194" s="45" t="n"/>
      <c r="J194" s="38" t="n"/>
    </row>
    <row r="195">
      <c r="A195" s="16">
        <f>IF($B195="","",COUNTA($B$4:$B195))</f>
        <v/>
      </c>
      <c r="B195" s="72" t="n"/>
      <c r="C195" s="46" t="n"/>
      <c r="D195" s="47" t="n"/>
      <c r="E195" s="47" t="n"/>
      <c r="F195" s="47" t="n"/>
      <c r="G195" s="47" t="n"/>
      <c r="H195" s="47" t="n"/>
      <c r="I195" s="47" t="n"/>
      <c r="J195" s="40" t="n"/>
    </row>
    <row r="196">
      <c r="A196" s="16">
        <f>IF($B196="","",COUNTA($B$4:$B196))</f>
        <v/>
      </c>
      <c r="B196" s="71" t="n"/>
      <c r="C196" s="44" t="n"/>
      <c r="D196" s="45" t="n"/>
      <c r="E196" s="45" t="n"/>
      <c r="F196" s="45" t="n"/>
      <c r="G196" s="45" t="n"/>
      <c r="H196" s="45" t="n"/>
      <c r="I196" s="45" t="n"/>
      <c r="J196" s="38" t="n"/>
    </row>
    <row r="197">
      <c r="A197" s="16">
        <f>IF($B197="","",COUNTA($B$4:$B197))</f>
        <v/>
      </c>
      <c r="B197" s="72" t="n"/>
      <c r="C197" s="46" t="n"/>
      <c r="D197" s="47" t="n"/>
      <c r="E197" s="47" t="n"/>
      <c r="F197" s="47" t="n"/>
      <c r="G197" s="47" t="n"/>
      <c r="H197" s="47" t="n"/>
      <c r="I197" s="47" t="n"/>
      <c r="J197" s="40" t="n"/>
    </row>
    <row r="198">
      <c r="A198" s="16">
        <f>IF($B198="","",COUNTA($B$4:$B198))</f>
        <v/>
      </c>
      <c r="B198" s="71" t="n"/>
      <c r="C198" s="44" t="n"/>
      <c r="D198" s="45" t="n"/>
      <c r="E198" s="45" t="n"/>
      <c r="F198" s="45" t="n"/>
      <c r="G198" s="45" t="n"/>
      <c r="H198" s="45" t="n"/>
      <c r="I198" s="45" t="n"/>
      <c r="J198" s="38" t="n"/>
    </row>
    <row r="199">
      <c r="A199" s="16">
        <f>IF($B199="","",COUNTA($B$4:$B199))</f>
        <v/>
      </c>
      <c r="B199" s="72" t="n"/>
      <c r="C199" s="46" t="n"/>
      <c r="D199" s="47" t="n"/>
      <c r="E199" s="47" t="n"/>
      <c r="F199" s="47" t="n"/>
      <c r="G199" s="47" t="n"/>
      <c r="H199" s="47" t="n"/>
      <c r="I199" s="47" t="n"/>
      <c r="J199" s="40" t="n"/>
    </row>
    <row r="200">
      <c r="A200" s="16">
        <f>IF($B200="","",COUNTA($B$4:$B200))</f>
        <v/>
      </c>
      <c r="B200" s="71" t="n"/>
      <c r="C200" s="44" t="n"/>
      <c r="D200" s="45" t="n"/>
      <c r="E200" s="45" t="n"/>
      <c r="F200" s="45" t="n"/>
      <c r="G200" s="45" t="n"/>
      <c r="H200" s="45" t="n"/>
      <c r="I200" s="45" t="n"/>
      <c r="J200" s="38" t="n"/>
    </row>
    <row r="201">
      <c r="A201" s="16">
        <f>IF($B201="","",COUNTA($B$4:$B201))</f>
        <v/>
      </c>
      <c r="B201" s="72" t="n"/>
      <c r="C201" s="46" t="n"/>
      <c r="D201" s="47" t="n"/>
      <c r="E201" s="47" t="n"/>
      <c r="F201" s="47" t="n"/>
      <c r="G201" s="47" t="n"/>
      <c r="H201" s="47" t="n"/>
      <c r="I201" s="47" t="n"/>
      <c r="J201" s="40" t="n"/>
    </row>
    <row r="202">
      <c r="A202" s="16">
        <f>IF($B202="","",COUNTA($B$4:$B202))</f>
        <v/>
      </c>
      <c r="B202" s="71" t="n"/>
      <c r="C202" s="44" t="n"/>
      <c r="D202" s="45" t="n"/>
      <c r="E202" s="45" t="n"/>
      <c r="F202" s="45" t="n"/>
      <c r="G202" s="45" t="n"/>
      <c r="H202" s="45" t="n"/>
      <c r="I202" s="45" t="n"/>
      <c r="J202" s="38" t="n"/>
    </row>
    <row r="203">
      <c r="A203" s="16">
        <f>IF($B203="","",COUNTA($B$4:$B203))</f>
        <v/>
      </c>
      <c r="B203" s="72" t="n"/>
      <c r="C203" s="46" t="n"/>
      <c r="D203" s="47" t="n"/>
      <c r="E203" s="47" t="n"/>
      <c r="F203" s="47" t="n"/>
      <c r="G203" s="47" t="n"/>
      <c r="H203" s="47" t="n"/>
      <c r="I203" s="47" t="n"/>
      <c r="J203" s="40" t="n"/>
    </row>
    <row r="204">
      <c r="A204" s="16">
        <f>IF($B204="","",COUNTA($B$4:$B204))</f>
        <v/>
      </c>
      <c r="B204" s="71" t="n"/>
      <c r="C204" s="44" t="n"/>
      <c r="D204" s="45" t="n"/>
      <c r="E204" s="45" t="n"/>
      <c r="F204" s="45" t="n"/>
      <c r="G204" s="45" t="n"/>
      <c r="H204" s="45" t="n"/>
      <c r="I204" s="45" t="n"/>
      <c r="J204" s="38" t="n"/>
    </row>
    <row r="205">
      <c r="A205" s="16">
        <f>IF($B205="","",COUNTA($B$4:$B205))</f>
        <v/>
      </c>
      <c r="B205" s="72" t="n"/>
      <c r="C205" s="46" t="n"/>
      <c r="D205" s="47" t="n"/>
      <c r="E205" s="47" t="n"/>
      <c r="F205" s="47" t="n"/>
      <c r="G205" s="47" t="n"/>
      <c r="H205" s="47" t="n"/>
      <c r="I205" s="47" t="n"/>
      <c r="J205" s="40" t="n"/>
    </row>
    <row r="206">
      <c r="A206" s="16">
        <f>IF($B206="","",COUNTA($B$4:$B206))</f>
        <v/>
      </c>
      <c r="B206" s="71" t="n"/>
      <c r="C206" s="44" t="n"/>
      <c r="D206" s="45" t="n"/>
      <c r="E206" s="45" t="n"/>
      <c r="F206" s="45" t="n"/>
      <c r="G206" s="45" t="n"/>
      <c r="H206" s="45" t="n"/>
      <c r="I206" s="45" t="n"/>
      <c r="J206" s="38" t="n"/>
    </row>
    <row r="207">
      <c r="A207" s="16">
        <f>IF($B207="","",COUNTA($B$4:$B207))</f>
        <v/>
      </c>
      <c r="B207" s="72" t="n"/>
      <c r="C207" s="46" t="n"/>
      <c r="D207" s="47" t="n"/>
      <c r="E207" s="47" t="n"/>
      <c r="F207" s="47" t="n"/>
      <c r="G207" s="47" t="n"/>
      <c r="H207" s="47" t="n"/>
      <c r="I207" s="47" t="n"/>
      <c r="J207" s="40" t="n"/>
    </row>
    <row r="208">
      <c r="A208" s="16">
        <f>IF($B208="","",COUNTA($B$4:$B208))</f>
        <v/>
      </c>
      <c r="B208" s="71" t="n"/>
      <c r="C208" s="44" t="n"/>
      <c r="D208" s="45" t="n"/>
      <c r="E208" s="45" t="n"/>
      <c r="F208" s="45" t="n"/>
      <c r="G208" s="45" t="n"/>
      <c r="H208" s="45" t="n"/>
      <c r="I208" s="45" t="n"/>
      <c r="J208" s="38" t="n"/>
    </row>
    <row r="209">
      <c r="A209" s="16">
        <f>IF($B209="","",COUNTA($B$4:$B209))</f>
        <v/>
      </c>
      <c r="B209" s="72" t="n"/>
      <c r="C209" s="46" t="n"/>
      <c r="D209" s="47" t="n"/>
      <c r="E209" s="47" t="n"/>
      <c r="F209" s="47" t="n"/>
      <c r="G209" s="47" t="n"/>
      <c r="H209" s="47" t="n"/>
      <c r="I209" s="47" t="n"/>
      <c r="J209" s="40" t="n"/>
    </row>
    <row r="210">
      <c r="A210" s="16">
        <f>IF($B210="","",COUNTA($B$4:$B210))</f>
        <v/>
      </c>
      <c r="B210" s="71" t="n"/>
      <c r="C210" s="44" t="n"/>
      <c r="D210" s="45" t="n"/>
      <c r="E210" s="45" t="n"/>
      <c r="F210" s="45" t="n"/>
      <c r="G210" s="45" t="n"/>
      <c r="H210" s="45" t="n"/>
      <c r="I210" s="45" t="n"/>
      <c r="J210" s="38" t="n"/>
    </row>
    <row r="211">
      <c r="A211" s="16">
        <f>IF($B211="","",COUNTA($B$4:$B211))</f>
        <v/>
      </c>
      <c r="B211" s="72" t="n"/>
      <c r="C211" s="46" t="n"/>
      <c r="D211" s="47" t="n"/>
      <c r="E211" s="47" t="n"/>
      <c r="F211" s="47" t="n"/>
      <c r="G211" s="47" t="n"/>
      <c r="H211" s="47" t="n"/>
      <c r="I211" s="47" t="n"/>
      <c r="J211" s="40" t="n"/>
    </row>
    <row r="212">
      <c r="A212" s="16">
        <f>IF($B212="","",COUNTA($B$4:$B212))</f>
        <v/>
      </c>
      <c r="B212" s="71" t="n"/>
      <c r="C212" s="44" t="n"/>
      <c r="D212" s="45" t="n"/>
      <c r="E212" s="45" t="n"/>
      <c r="F212" s="45" t="n"/>
      <c r="G212" s="45" t="n"/>
      <c r="H212" s="45" t="n"/>
      <c r="I212" s="45" t="n"/>
      <c r="J212" s="38" t="n"/>
    </row>
    <row r="213">
      <c r="A213" s="16">
        <f>IF($B213="","",COUNTA($B$4:$B213))</f>
        <v/>
      </c>
      <c r="B213" s="72" t="n"/>
      <c r="C213" s="46" t="n"/>
      <c r="D213" s="47" t="n"/>
      <c r="E213" s="47" t="n"/>
      <c r="F213" s="47" t="n"/>
      <c r="G213" s="47" t="n"/>
      <c r="H213" s="47" t="n"/>
      <c r="I213" s="47" t="n"/>
      <c r="J213" s="40" t="n"/>
    </row>
    <row r="214">
      <c r="A214" s="16">
        <f>IF($B214="","",COUNTA($B$4:$B214))</f>
        <v/>
      </c>
      <c r="B214" s="71" t="n"/>
      <c r="C214" s="44" t="n"/>
      <c r="D214" s="45" t="n"/>
      <c r="E214" s="45" t="n"/>
      <c r="F214" s="45" t="n"/>
      <c r="G214" s="45" t="n"/>
      <c r="H214" s="45" t="n"/>
      <c r="I214" s="45" t="n"/>
      <c r="J214" s="38" t="n"/>
    </row>
    <row r="215">
      <c r="A215" s="16">
        <f>IF($B215="","",COUNTA($B$4:$B215))</f>
        <v/>
      </c>
      <c r="B215" s="72" t="n"/>
      <c r="C215" s="46" t="n"/>
      <c r="D215" s="47" t="n"/>
      <c r="E215" s="47" t="n"/>
      <c r="F215" s="47" t="n"/>
      <c r="G215" s="47" t="n"/>
      <c r="H215" s="47" t="n"/>
      <c r="I215" s="47" t="n"/>
      <c r="J215" s="40" t="n"/>
    </row>
    <row r="216">
      <c r="A216" s="16">
        <f>IF($B216="","",COUNTA($B$4:$B216))</f>
        <v/>
      </c>
      <c r="B216" s="71" t="n"/>
      <c r="C216" s="44" t="n"/>
      <c r="D216" s="45" t="n"/>
      <c r="E216" s="45" t="n"/>
      <c r="F216" s="45" t="n"/>
      <c r="G216" s="45" t="n"/>
      <c r="H216" s="45" t="n"/>
      <c r="I216" s="45" t="n"/>
      <c r="J216" s="38" t="n"/>
    </row>
    <row r="217">
      <c r="A217" s="16">
        <f>IF($B217="","",COUNTA($B$4:$B217))</f>
        <v/>
      </c>
      <c r="B217" s="72" t="n"/>
      <c r="C217" s="46" t="n"/>
      <c r="D217" s="47" t="n"/>
      <c r="E217" s="47" t="n"/>
      <c r="F217" s="47" t="n"/>
      <c r="G217" s="47" t="n"/>
      <c r="H217" s="47" t="n"/>
      <c r="I217" s="47" t="n"/>
      <c r="J217" s="40" t="n"/>
    </row>
    <row r="218">
      <c r="A218" s="16">
        <f>IF($B218="","",COUNTA($B$4:$B218))</f>
        <v/>
      </c>
      <c r="B218" s="71" t="n"/>
      <c r="C218" s="44" t="n"/>
      <c r="D218" s="45" t="n"/>
      <c r="E218" s="45" t="n"/>
      <c r="F218" s="45" t="n"/>
      <c r="G218" s="45" t="n"/>
      <c r="H218" s="45" t="n"/>
      <c r="I218" s="45" t="n"/>
      <c r="J218" s="38" t="n"/>
    </row>
    <row r="219">
      <c r="A219" s="16">
        <f>IF($B219="","",COUNTA($B$4:$B219))</f>
        <v/>
      </c>
      <c r="B219" s="72" t="n"/>
      <c r="C219" s="46" t="n"/>
      <c r="D219" s="47" t="n"/>
      <c r="E219" s="47" t="n"/>
      <c r="F219" s="47" t="n"/>
      <c r="G219" s="47" t="n"/>
      <c r="H219" s="47" t="n"/>
      <c r="I219" s="47" t="n"/>
      <c r="J219" s="40" t="n"/>
    </row>
    <row r="220">
      <c r="A220" s="16">
        <f>IF($B220="","",COUNTA($B$4:$B220))</f>
        <v/>
      </c>
      <c r="B220" s="71" t="n"/>
      <c r="C220" s="44" t="n"/>
      <c r="D220" s="45" t="n"/>
      <c r="E220" s="45" t="n"/>
      <c r="F220" s="45" t="n"/>
      <c r="G220" s="45" t="n"/>
      <c r="H220" s="45" t="n"/>
      <c r="I220" s="45" t="n"/>
      <c r="J220" s="38" t="n"/>
    </row>
    <row r="221">
      <c r="A221" s="16">
        <f>IF($B221="","",COUNTA($B$4:$B221))</f>
        <v/>
      </c>
      <c r="B221" s="72" t="n"/>
      <c r="C221" s="46" t="n"/>
      <c r="D221" s="47" t="n"/>
      <c r="E221" s="47" t="n"/>
      <c r="F221" s="47" t="n"/>
      <c r="G221" s="47" t="n"/>
      <c r="H221" s="47" t="n"/>
      <c r="I221" s="47" t="n"/>
      <c r="J221" s="40" t="n"/>
    </row>
    <row r="222">
      <c r="A222" s="16">
        <f>IF($B222="","",COUNTA($B$4:$B222))</f>
        <v/>
      </c>
      <c r="B222" s="71" t="n"/>
      <c r="C222" s="44" t="n"/>
      <c r="D222" s="45" t="n"/>
      <c r="E222" s="45" t="n"/>
      <c r="F222" s="45" t="n"/>
      <c r="G222" s="45" t="n"/>
      <c r="H222" s="45" t="n"/>
      <c r="I222" s="45" t="n"/>
      <c r="J222" s="38" t="n"/>
    </row>
    <row r="223">
      <c r="A223" s="16">
        <f>IF($B223="","",COUNTA($B$4:$B223))</f>
        <v/>
      </c>
      <c r="B223" s="72" t="n"/>
      <c r="C223" s="46" t="n"/>
      <c r="D223" s="47" t="n"/>
      <c r="E223" s="47" t="n"/>
      <c r="F223" s="47" t="n"/>
      <c r="G223" s="47" t="n"/>
      <c r="H223" s="47" t="n"/>
      <c r="I223" s="47" t="n"/>
      <c r="J223" s="40" t="n"/>
    </row>
    <row r="224">
      <c r="A224" s="16">
        <f>IF($B224="","",COUNTA($B$4:$B224))</f>
        <v/>
      </c>
      <c r="B224" s="71" t="n"/>
      <c r="C224" s="44" t="n"/>
      <c r="D224" s="45" t="n"/>
      <c r="E224" s="45" t="n"/>
      <c r="F224" s="45" t="n"/>
      <c r="G224" s="45" t="n"/>
      <c r="H224" s="45" t="n"/>
      <c r="I224" s="45" t="n"/>
      <c r="J224" s="38" t="n"/>
    </row>
    <row r="225">
      <c r="A225" s="16">
        <f>IF($B225="","",COUNTA($B$4:$B225))</f>
        <v/>
      </c>
      <c r="B225" s="72" t="n"/>
      <c r="C225" s="46" t="n"/>
      <c r="D225" s="47" t="n"/>
      <c r="E225" s="47" t="n"/>
      <c r="F225" s="47" t="n"/>
      <c r="G225" s="47" t="n"/>
      <c r="H225" s="47" t="n"/>
      <c r="I225" s="47" t="n"/>
      <c r="J225" s="40" t="n"/>
    </row>
    <row r="226">
      <c r="A226" s="16">
        <f>IF($B226="","",COUNTA($B$4:$B226))</f>
        <v/>
      </c>
      <c r="B226" s="71" t="n"/>
      <c r="C226" s="44" t="n"/>
      <c r="D226" s="45" t="n"/>
      <c r="E226" s="45" t="n"/>
      <c r="F226" s="45" t="n"/>
      <c r="G226" s="45" t="n"/>
      <c r="H226" s="45" t="n"/>
      <c r="I226" s="45" t="n"/>
      <c r="J226" s="38" t="n"/>
    </row>
    <row r="227">
      <c r="A227" s="16">
        <f>IF($B227="","",COUNTA($B$4:$B227))</f>
        <v/>
      </c>
      <c r="B227" s="72" t="n"/>
      <c r="C227" s="46" t="n"/>
      <c r="D227" s="47" t="n"/>
      <c r="E227" s="47" t="n"/>
      <c r="F227" s="47" t="n"/>
      <c r="G227" s="47" t="n"/>
      <c r="H227" s="47" t="n"/>
      <c r="I227" s="47" t="n"/>
      <c r="J227" s="40" t="n"/>
    </row>
    <row r="228">
      <c r="A228" s="16">
        <f>IF($B228="","",COUNTA($B$4:$B228))</f>
        <v/>
      </c>
      <c r="B228" s="71" t="n"/>
      <c r="C228" s="44" t="n"/>
      <c r="D228" s="45" t="n"/>
      <c r="E228" s="45" t="n"/>
      <c r="F228" s="45" t="n"/>
      <c r="G228" s="45" t="n"/>
      <c r="H228" s="45" t="n"/>
      <c r="I228" s="45" t="n"/>
      <c r="J228" s="38" t="n"/>
    </row>
    <row r="229">
      <c r="A229" s="16">
        <f>IF($B229="","",COUNTA($B$4:$B229))</f>
        <v/>
      </c>
      <c r="B229" s="72" t="n"/>
      <c r="C229" s="46" t="n"/>
      <c r="D229" s="47" t="n"/>
      <c r="E229" s="47" t="n"/>
      <c r="F229" s="47" t="n"/>
      <c r="G229" s="47" t="n"/>
      <c r="H229" s="47" t="n"/>
      <c r="I229" s="47" t="n"/>
      <c r="J229" s="40" t="n"/>
    </row>
    <row r="230">
      <c r="A230" s="16">
        <f>IF($B230="","",COUNTA($B$4:$B230))</f>
        <v/>
      </c>
      <c r="B230" s="71" t="n"/>
      <c r="C230" s="44" t="n"/>
      <c r="D230" s="45" t="n"/>
      <c r="E230" s="45" t="n"/>
      <c r="F230" s="45" t="n"/>
      <c r="G230" s="45" t="n"/>
      <c r="H230" s="45" t="n"/>
      <c r="I230" s="45" t="n"/>
      <c r="J230" s="38" t="n"/>
    </row>
    <row r="231">
      <c r="A231" s="16">
        <f>IF($B231="","",COUNTA($B$4:$B231))</f>
        <v/>
      </c>
      <c r="B231" s="72" t="n"/>
      <c r="C231" s="46" t="n"/>
      <c r="D231" s="47" t="n"/>
      <c r="E231" s="47" t="n"/>
      <c r="F231" s="47" t="n"/>
      <c r="G231" s="47" t="n"/>
      <c r="H231" s="47" t="n"/>
      <c r="I231" s="47" t="n"/>
      <c r="J231" s="40" t="n"/>
    </row>
    <row r="232">
      <c r="A232" s="16">
        <f>IF($B232="","",COUNTA($B$4:$B232))</f>
        <v/>
      </c>
      <c r="B232" s="71" t="n"/>
      <c r="C232" s="44" t="n"/>
      <c r="D232" s="45" t="n"/>
      <c r="E232" s="45" t="n"/>
      <c r="F232" s="45" t="n"/>
      <c r="G232" s="45" t="n"/>
      <c r="H232" s="45" t="n"/>
      <c r="I232" s="45" t="n"/>
      <c r="J232" s="38" t="n"/>
    </row>
    <row r="233">
      <c r="A233" s="16">
        <f>IF($B233="","",COUNTA($B$4:$B233))</f>
        <v/>
      </c>
      <c r="B233" s="72" t="n"/>
      <c r="C233" s="46" t="n"/>
      <c r="D233" s="47" t="n"/>
      <c r="E233" s="47" t="n"/>
      <c r="F233" s="47" t="n"/>
      <c r="G233" s="47" t="n"/>
      <c r="H233" s="47" t="n"/>
      <c r="I233" s="47" t="n"/>
      <c r="J233" s="40" t="n"/>
    </row>
    <row r="234">
      <c r="A234" s="16">
        <f>IF($B234="","",COUNTA($B$4:$B234))</f>
        <v/>
      </c>
      <c r="B234" s="71" t="n"/>
      <c r="C234" s="44" t="n"/>
      <c r="D234" s="45" t="n"/>
      <c r="E234" s="45" t="n"/>
      <c r="F234" s="45" t="n"/>
      <c r="G234" s="45" t="n"/>
      <c r="H234" s="45" t="n"/>
      <c r="I234" s="45" t="n"/>
      <c r="J234" s="38" t="n"/>
    </row>
    <row r="235">
      <c r="A235" s="16">
        <f>IF($B235="","",COUNTA($B$4:$B235))</f>
        <v/>
      </c>
      <c r="B235" s="72" t="n"/>
      <c r="C235" s="46" t="n"/>
      <c r="D235" s="47" t="n"/>
      <c r="E235" s="47" t="n"/>
      <c r="F235" s="47" t="n"/>
      <c r="G235" s="47" t="n"/>
      <c r="H235" s="47" t="n"/>
      <c r="I235" s="47" t="n"/>
      <c r="J235" s="40" t="n"/>
    </row>
    <row r="236">
      <c r="A236" s="16">
        <f>IF($B236="","",COUNTA($B$4:$B236))</f>
        <v/>
      </c>
      <c r="B236" s="71" t="n"/>
      <c r="C236" s="44" t="n"/>
      <c r="D236" s="45" t="n"/>
      <c r="E236" s="45" t="n"/>
      <c r="F236" s="45" t="n"/>
      <c r="G236" s="45" t="n"/>
      <c r="H236" s="45" t="n"/>
      <c r="I236" s="45" t="n"/>
      <c r="J236" s="38" t="n"/>
    </row>
    <row r="237">
      <c r="A237" s="16">
        <f>IF($B237="","",COUNTA($B$4:$B237))</f>
        <v/>
      </c>
      <c r="B237" s="72" t="n"/>
      <c r="C237" s="46" t="n"/>
      <c r="D237" s="47" t="n"/>
      <c r="E237" s="47" t="n"/>
      <c r="F237" s="47" t="n"/>
      <c r="G237" s="47" t="n"/>
      <c r="H237" s="47" t="n"/>
      <c r="I237" s="47" t="n"/>
      <c r="J237" s="40" t="n"/>
    </row>
    <row r="238">
      <c r="A238" s="16">
        <f>IF($B238="","",COUNTA($B$4:$B238))</f>
        <v/>
      </c>
      <c r="B238" s="71" t="n"/>
      <c r="C238" s="44" t="n"/>
      <c r="D238" s="45" t="n"/>
      <c r="E238" s="45" t="n"/>
      <c r="F238" s="45" t="n"/>
      <c r="G238" s="45" t="n"/>
      <c r="H238" s="45" t="n"/>
      <c r="I238" s="45" t="n"/>
      <c r="J238" s="38" t="n"/>
    </row>
    <row r="239">
      <c r="A239" s="16">
        <f>IF($B239="","",COUNTA($B$4:$B239))</f>
        <v/>
      </c>
      <c r="B239" s="72" t="n"/>
      <c r="C239" s="46" t="n"/>
      <c r="D239" s="47" t="n"/>
      <c r="E239" s="47" t="n"/>
      <c r="F239" s="47" t="n"/>
      <c r="G239" s="47" t="n"/>
      <c r="H239" s="47" t="n"/>
      <c r="I239" s="47" t="n"/>
      <c r="J239" s="40" t="n"/>
    </row>
    <row r="240">
      <c r="A240" s="16">
        <f>IF($B240="","",COUNTA($B$4:$B240))</f>
        <v/>
      </c>
      <c r="B240" s="71" t="n"/>
      <c r="C240" s="44" t="n"/>
      <c r="D240" s="45" t="n"/>
      <c r="E240" s="45" t="n"/>
      <c r="F240" s="45" t="n"/>
      <c r="G240" s="45" t="n"/>
      <c r="H240" s="45" t="n"/>
      <c r="I240" s="45" t="n"/>
      <c r="J240" s="38" t="n"/>
    </row>
    <row r="241">
      <c r="A241" s="16">
        <f>IF($B241="","",COUNTA($B$4:$B241))</f>
        <v/>
      </c>
      <c r="B241" s="72" t="n"/>
      <c r="C241" s="46" t="n"/>
      <c r="D241" s="47" t="n"/>
      <c r="E241" s="47" t="n"/>
      <c r="F241" s="47" t="n"/>
      <c r="G241" s="47" t="n"/>
      <c r="H241" s="47" t="n"/>
      <c r="I241" s="47" t="n"/>
      <c r="J241" s="40" t="n"/>
    </row>
    <row r="242">
      <c r="A242" s="16">
        <f>IF($B242="","",COUNTA($B$4:$B242))</f>
        <v/>
      </c>
      <c r="B242" s="71" t="n"/>
      <c r="C242" s="44" t="n"/>
      <c r="D242" s="45" t="n"/>
      <c r="E242" s="45" t="n"/>
      <c r="F242" s="45" t="n"/>
      <c r="G242" s="45" t="n"/>
      <c r="H242" s="45" t="n"/>
      <c r="I242" s="45" t="n"/>
      <c r="J242" s="38" t="n"/>
    </row>
    <row r="243">
      <c r="A243" s="16">
        <f>IF($B243="","",COUNTA($B$4:$B243))</f>
        <v/>
      </c>
      <c r="B243" s="72" t="n"/>
      <c r="C243" s="46" t="n"/>
      <c r="D243" s="47" t="n"/>
      <c r="E243" s="47" t="n"/>
      <c r="F243" s="47" t="n"/>
      <c r="G243" s="47" t="n"/>
      <c r="H243" s="47" t="n"/>
      <c r="I243" s="47" t="n"/>
      <c r="J243" s="40" t="n"/>
    </row>
    <row r="244">
      <c r="A244" s="16">
        <f>IF($B244="","",COUNTA($B$4:$B244))</f>
        <v/>
      </c>
      <c r="B244" s="71" t="n"/>
      <c r="C244" s="44" t="n"/>
      <c r="D244" s="45" t="n"/>
      <c r="E244" s="45" t="n"/>
      <c r="F244" s="45" t="n"/>
      <c r="G244" s="45" t="n"/>
      <c r="H244" s="45" t="n"/>
      <c r="I244" s="45" t="n"/>
      <c r="J244" s="38" t="n"/>
    </row>
    <row r="245">
      <c r="A245" s="16">
        <f>IF($B245="","",COUNTA($B$4:$B245))</f>
        <v/>
      </c>
      <c r="B245" s="72" t="n"/>
      <c r="C245" s="46" t="n"/>
      <c r="D245" s="47" t="n"/>
      <c r="E245" s="47" t="n"/>
      <c r="F245" s="47" t="n"/>
      <c r="G245" s="47" t="n"/>
      <c r="H245" s="47" t="n"/>
      <c r="I245" s="47" t="n"/>
      <c r="J245" s="40" t="n"/>
    </row>
    <row r="246">
      <c r="A246" s="16">
        <f>IF($B246="","",COUNTA($B$4:$B246))</f>
        <v/>
      </c>
      <c r="B246" s="71" t="n"/>
      <c r="C246" s="44" t="n"/>
      <c r="D246" s="45" t="n"/>
      <c r="E246" s="45" t="n"/>
      <c r="F246" s="45" t="n"/>
      <c r="G246" s="45" t="n"/>
      <c r="H246" s="45" t="n"/>
      <c r="I246" s="45" t="n"/>
      <c r="J246" s="38" t="n"/>
    </row>
    <row r="247">
      <c r="A247" s="16">
        <f>IF($B247="","",COUNTA($B$4:$B247))</f>
        <v/>
      </c>
      <c r="B247" s="72" t="n"/>
      <c r="C247" s="46" t="n"/>
      <c r="D247" s="47" t="n"/>
      <c r="E247" s="47" t="n"/>
      <c r="F247" s="47" t="n"/>
      <c r="G247" s="47" t="n"/>
      <c r="H247" s="47" t="n"/>
      <c r="I247" s="47" t="n"/>
      <c r="J247" s="40" t="n"/>
    </row>
    <row r="248">
      <c r="A248" s="16">
        <f>IF($B248="","",COUNTA($B$4:$B248))</f>
        <v/>
      </c>
      <c r="B248" s="71" t="n"/>
      <c r="C248" s="44" t="n"/>
      <c r="D248" s="45" t="n"/>
      <c r="E248" s="45" t="n"/>
      <c r="F248" s="45" t="n"/>
      <c r="G248" s="45" t="n"/>
      <c r="H248" s="45" t="n"/>
      <c r="I248" s="45" t="n"/>
      <c r="J248" s="38" t="n"/>
    </row>
    <row r="249">
      <c r="A249" s="16">
        <f>IF($B249="","",COUNTA($B$4:$B249))</f>
        <v/>
      </c>
      <c r="B249" s="72" t="n"/>
      <c r="C249" s="46" t="n"/>
      <c r="D249" s="47" t="n"/>
      <c r="E249" s="47" t="n"/>
      <c r="F249" s="47" t="n"/>
      <c r="G249" s="47" t="n"/>
      <c r="H249" s="47" t="n"/>
      <c r="I249" s="47" t="n"/>
      <c r="J249" s="40" t="n"/>
    </row>
    <row r="250">
      <c r="A250" s="16">
        <f>IF($B250="","",COUNTA($B$4:$B250))</f>
        <v/>
      </c>
      <c r="B250" s="71" t="n"/>
      <c r="C250" s="44" t="n"/>
      <c r="D250" s="45" t="n"/>
      <c r="E250" s="45" t="n"/>
      <c r="F250" s="45" t="n"/>
      <c r="G250" s="45" t="n"/>
      <c r="H250" s="45" t="n"/>
      <c r="I250" s="45" t="n"/>
      <c r="J250" s="38" t="n"/>
    </row>
    <row r="251">
      <c r="A251" s="16">
        <f>IF($B251="","",COUNTA($B$4:$B251))</f>
        <v/>
      </c>
      <c r="B251" s="72" t="n"/>
      <c r="C251" s="46" t="n"/>
      <c r="D251" s="47" t="n"/>
      <c r="E251" s="47" t="n"/>
      <c r="F251" s="47" t="n"/>
      <c r="G251" s="47" t="n"/>
      <c r="H251" s="47" t="n"/>
      <c r="I251" s="47" t="n"/>
      <c r="J251" s="40" t="n"/>
    </row>
    <row r="252">
      <c r="A252" s="16">
        <f>IF($B252="","",COUNTA($B$4:$B252))</f>
        <v/>
      </c>
      <c r="B252" s="71" t="n"/>
      <c r="C252" s="44" t="n"/>
      <c r="D252" s="45" t="n"/>
      <c r="E252" s="45" t="n"/>
      <c r="F252" s="45" t="n"/>
      <c r="G252" s="45" t="n"/>
      <c r="H252" s="45" t="n"/>
      <c r="I252" s="45" t="n"/>
      <c r="J252" s="38" t="n"/>
    </row>
    <row r="253">
      <c r="A253" s="16">
        <f>IF($B253="","",COUNTA($B$4:$B253))</f>
        <v/>
      </c>
      <c r="B253" s="72" t="n"/>
      <c r="C253" s="46" t="n"/>
      <c r="D253" s="47" t="n"/>
      <c r="E253" s="47" t="n"/>
      <c r="F253" s="47" t="n"/>
      <c r="G253" s="47" t="n"/>
      <c r="H253" s="47" t="n"/>
      <c r="I253" s="47" t="n"/>
      <c r="J253" s="40" t="n"/>
    </row>
    <row r="254">
      <c r="A254" s="16">
        <f>IF($B254="","",COUNTA($B$4:$B254))</f>
        <v/>
      </c>
      <c r="B254" s="71" t="n"/>
      <c r="C254" s="44" t="n"/>
      <c r="D254" s="45" t="n"/>
      <c r="E254" s="45" t="n"/>
      <c r="F254" s="45" t="n"/>
      <c r="G254" s="45" t="n"/>
      <c r="H254" s="45" t="n"/>
      <c r="I254" s="45" t="n"/>
      <c r="J254" s="38" t="n"/>
    </row>
    <row r="255">
      <c r="A255" s="16">
        <f>IF($B255="","",COUNTA($B$4:$B255))</f>
        <v/>
      </c>
      <c r="B255" s="72" t="n"/>
      <c r="C255" s="46" t="n"/>
      <c r="D255" s="47" t="n"/>
      <c r="E255" s="47" t="n"/>
      <c r="F255" s="47" t="n"/>
      <c r="G255" s="47" t="n"/>
      <c r="H255" s="47" t="n"/>
      <c r="I255" s="47" t="n"/>
      <c r="J255" s="40" t="n"/>
    </row>
    <row r="256">
      <c r="A256" s="16">
        <f>IF($B256="","",COUNTA($B$4:$B256))</f>
        <v/>
      </c>
      <c r="B256" s="71" t="n"/>
      <c r="C256" s="44" t="n"/>
      <c r="D256" s="45" t="n"/>
      <c r="E256" s="45" t="n"/>
      <c r="F256" s="45" t="n"/>
      <c r="G256" s="45" t="n"/>
      <c r="H256" s="45" t="n"/>
      <c r="I256" s="45" t="n"/>
      <c r="J256" s="38" t="n"/>
    </row>
    <row r="257">
      <c r="A257" s="16">
        <f>IF($B257="","",COUNTA($B$4:$B257))</f>
        <v/>
      </c>
      <c r="B257" s="72" t="n"/>
      <c r="C257" s="46" t="n"/>
      <c r="D257" s="47" t="n"/>
      <c r="E257" s="47" t="n"/>
      <c r="F257" s="47" t="n"/>
      <c r="G257" s="47" t="n"/>
      <c r="H257" s="47" t="n"/>
      <c r="I257" s="47" t="n"/>
      <c r="J257" s="40" t="n"/>
    </row>
    <row r="258">
      <c r="A258" s="16">
        <f>IF($B258="","",COUNTA($B$4:$B258))</f>
        <v/>
      </c>
      <c r="B258" s="71" t="n"/>
      <c r="C258" s="44" t="n"/>
      <c r="D258" s="45" t="n"/>
      <c r="E258" s="45" t="n"/>
      <c r="F258" s="45" t="n"/>
      <c r="G258" s="45" t="n"/>
      <c r="H258" s="45" t="n"/>
      <c r="I258" s="45" t="n"/>
      <c r="J258" s="38" t="n"/>
    </row>
    <row r="259">
      <c r="A259" s="16">
        <f>IF($B259="","",COUNTA($B$4:$B259))</f>
        <v/>
      </c>
      <c r="B259" s="72" t="n"/>
      <c r="C259" s="46" t="n"/>
      <c r="D259" s="47" t="n"/>
      <c r="E259" s="47" t="n"/>
      <c r="F259" s="47" t="n"/>
      <c r="G259" s="47" t="n"/>
      <c r="H259" s="47" t="n"/>
      <c r="I259" s="47" t="n"/>
      <c r="J259" s="40" t="n"/>
    </row>
    <row r="260">
      <c r="A260" s="16">
        <f>IF($B260="","",COUNTA($B$4:$B260))</f>
        <v/>
      </c>
      <c r="B260" s="71" t="n"/>
      <c r="C260" s="44" t="n"/>
      <c r="D260" s="45" t="n"/>
      <c r="E260" s="45" t="n"/>
      <c r="F260" s="45" t="n"/>
      <c r="G260" s="45" t="n"/>
      <c r="H260" s="45" t="n"/>
      <c r="I260" s="45" t="n"/>
      <c r="J260" s="38" t="n"/>
    </row>
    <row r="261">
      <c r="A261" s="16">
        <f>IF($B261="","",COUNTA($B$4:$B261))</f>
        <v/>
      </c>
      <c r="B261" s="72" t="n"/>
      <c r="C261" s="46" t="n"/>
      <c r="D261" s="47" t="n"/>
      <c r="E261" s="47" t="n"/>
      <c r="F261" s="47" t="n"/>
      <c r="G261" s="47" t="n"/>
      <c r="H261" s="47" t="n"/>
      <c r="I261" s="47" t="n"/>
      <c r="J261" s="40" t="n"/>
    </row>
    <row r="262">
      <c r="A262" s="16">
        <f>IF($B262="","",COUNTA($B$4:$B262))</f>
        <v/>
      </c>
      <c r="B262" s="71" t="n"/>
      <c r="C262" s="44" t="n"/>
      <c r="D262" s="45" t="n"/>
      <c r="E262" s="45" t="n"/>
      <c r="F262" s="45" t="n"/>
      <c r="G262" s="45" t="n"/>
      <c r="H262" s="45" t="n"/>
      <c r="I262" s="45" t="n"/>
      <c r="J262" s="38" t="n"/>
    </row>
    <row r="263">
      <c r="A263" s="16">
        <f>IF($B263="","",COUNTA($B$4:$B263))</f>
        <v/>
      </c>
      <c r="B263" s="72" t="n"/>
      <c r="C263" s="46" t="n"/>
      <c r="D263" s="47" t="n"/>
      <c r="E263" s="47" t="n"/>
      <c r="F263" s="47" t="n"/>
      <c r="G263" s="47" t="n"/>
      <c r="H263" s="47" t="n"/>
      <c r="I263" s="47" t="n"/>
      <c r="J263" s="40" t="n"/>
    </row>
    <row r="264">
      <c r="A264" s="16">
        <f>IF($B264="","",COUNTA($B$4:$B264))</f>
        <v/>
      </c>
      <c r="B264" s="71" t="n"/>
      <c r="C264" s="44" t="n"/>
      <c r="D264" s="45" t="n"/>
      <c r="E264" s="45" t="n"/>
      <c r="F264" s="45" t="n"/>
      <c r="G264" s="45" t="n"/>
      <c r="H264" s="45" t="n"/>
      <c r="I264" s="45" t="n"/>
      <c r="J264" s="38" t="n"/>
    </row>
    <row r="265">
      <c r="A265" s="16">
        <f>IF($B265="","",COUNTA($B$4:$B265))</f>
        <v/>
      </c>
      <c r="B265" s="72" t="n"/>
      <c r="C265" s="46" t="n"/>
      <c r="D265" s="47" t="n"/>
      <c r="E265" s="47" t="n"/>
      <c r="F265" s="47" t="n"/>
      <c r="G265" s="47" t="n"/>
      <c r="H265" s="47" t="n"/>
      <c r="I265" s="47" t="n"/>
      <c r="J265" s="40" t="n"/>
    </row>
    <row r="266">
      <c r="A266" s="16">
        <f>IF($B266="","",COUNTA($B$4:$B266))</f>
        <v/>
      </c>
      <c r="B266" s="71" t="n"/>
      <c r="C266" s="44" t="n"/>
      <c r="D266" s="45" t="n"/>
      <c r="E266" s="45" t="n"/>
      <c r="F266" s="45" t="n"/>
      <c r="G266" s="45" t="n"/>
      <c r="H266" s="45" t="n"/>
      <c r="I266" s="45" t="n"/>
      <c r="J266" s="38" t="n"/>
    </row>
    <row r="267">
      <c r="A267" s="16">
        <f>IF($B267="","",COUNTA($B$4:$B267))</f>
        <v/>
      </c>
      <c r="B267" s="72" t="n"/>
      <c r="C267" s="46" t="n"/>
      <c r="D267" s="47" t="n"/>
      <c r="E267" s="47" t="n"/>
      <c r="F267" s="47" t="n"/>
      <c r="G267" s="47" t="n"/>
      <c r="H267" s="47" t="n"/>
      <c r="I267" s="47" t="n"/>
      <c r="J267" s="40" t="n"/>
    </row>
    <row r="268">
      <c r="A268" s="16">
        <f>IF($B268="","",COUNTA($B$4:$B268))</f>
        <v/>
      </c>
      <c r="B268" s="71" t="n"/>
      <c r="C268" s="44" t="n"/>
      <c r="D268" s="45" t="n"/>
      <c r="E268" s="45" t="n"/>
      <c r="F268" s="45" t="n"/>
      <c r="G268" s="45" t="n"/>
      <c r="H268" s="45" t="n"/>
      <c r="I268" s="45" t="n"/>
      <c r="J268" s="38" t="n"/>
    </row>
    <row r="269">
      <c r="A269" s="16">
        <f>IF($B269="","",COUNTA($B$4:$B269))</f>
        <v/>
      </c>
      <c r="B269" s="72" t="n"/>
      <c r="C269" s="46" t="n"/>
      <c r="D269" s="47" t="n"/>
      <c r="E269" s="47" t="n"/>
      <c r="F269" s="47" t="n"/>
      <c r="G269" s="47" t="n"/>
      <c r="H269" s="47" t="n"/>
      <c r="I269" s="47" t="n"/>
      <c r="J269" s="40" t="n"/>
    </row>
    <row r="270">
      <c r="A270" s="16">
        <f>IF($B270="","",COUNTA($B$4:$B270))</f>
        <v/>
      </c>
      <c r="B270" s="71" t="n"/>
      <c r="C270" s="44" t="n"/>
      <c r="D270" s="45" t="n"/>
      <c r="E270" s="45" t="n"/>
      <c r="F270" s="45" t="n"/>
      <c r="G270" s="45" t="n"/>
      <c r="H270" s="45" t="n"/>
      <c r="I270" s="45" t="n"/>
      <c r="J270" s="38" t="n"/>
    </row>
    <row r="271">
      <c r="A271" s="16">
        <f>IF($B271="","",COUNTA($B$4:$B271))</f>
        <v/>
      </c>
      <c r="B271" s="72" t="n"/>
      <c r="C271" s="46" t="n"/>
      <c r="D271" s="47" t="n"/>
      <c r="E271" s="47" t="n"/>
      <c r="F271" s="47" t="n"/>
      <c r="G271" s="47" t="n"/>
      <c r="H271" s="47" t="n"/>
      <c r="I271" s="47" t="n"/>
      <c r="J271" s="40" t="n"/>
    </row>
    <row r="272">
      <c r="A272" s="16">
        <f>IF($B272="","",COUNTA($B$4:$B272))</f>
        <v/>
      </c>
      <c r="B272" s="71" t="n"/>
      <c r="C272" s="44" t="n"/>
      <c r="D272" s="45" t="n"/>
      <c r="E272" s="45" t="n"/>
      <c r="F272" s="45" t="n"/>
      <c r="G272" s="45" t="n"/>
      <c r="H272" s="45" t="n"/>
      <c r="I272" s="45" t="n"/>
      <c r="J272" s="38" t="n"/>
    </row>
    <row r="273">
      <c r="A273" s="16">
        <f>IF($B273="","",COUNTA($B$4:$B273))</f>
        <v/>
      </c>
      <c r="B273" s="72" t="n"/>
      <c r="C273" s="46" t="n"/>
      <c r="D273" s="47" t="n"/>
      <c r="E273" s="47" t="n"/>
      <c r="F273" s="47" t="n"/>
      <c r="G273" s="47" t="n"/>
      <c r="H273" s="47" t="n"/>
      <c r="I273" s="47" t="n"/>
      <c r="J273" s="40" t="n"/>
    </row>
    <row r="274">
      <c r="A274" s="16">
        <f>IF($B274="","",COUNTA($B$4:$B274))</f>
        <v/>
      </c>
      <c r="B274" s="71" t="n"/>
      <c r="C274" s="44" t="n"/>
      <c r="D274" s="45" t="n"/>
      <c r="E274" s="45" t="n"/>
      <c r="F274" s="45" t="n"/>
      <c r="G274" s="45" t="n"/>
      <c r="H274" s="45" t="n"/>
      <c r="I274" s="45" t="n"/>
      <c r="J274" s="38" t="n"/>
    </row>
    <row r="275">
      <c r="A275" s="16">
        <f>IF($B275="","",COUNTA($B$4:$B275))</f>
        <v/>
      </c>
      <c r="B275" s="72" t="n"/>
      <c r="C275" s="46" t="n"/>
      <c r="D275" s="47" t="n"/>
      <c r="E275" s="47" t="n"/>
      <c r="F275" s="47" t="n"/>
      <c r="G275" s="47" t="n"/>
      <c r="H275" s="47" t="n"/>
      <c r="I275" s="47" t="n"/>
      <c r="J275" s="40" t="n"/>
    </row>
    <row r="276">
      <c r="A276" s="16">
        <f>IF($B276="","",COUNTA($B$4:$B276))</f>
        <v/>
      </c>
      <c r="B276" s="71" t="n"/>
      <c r="C276" s="44" t="n"/>
      <c r="D276" s="45" t="n"/>
      <c r="E276" s="45" t="n"/>
      <c r="F276" s="45" t="n"/>
      <c r="G276" s="45" t="n"/>
      <c r="H276" s="45" t="n"/>
      <c r="I276" s="45" t="n"/>
      <c r="J276" s="38" t="n"/>
    </row>
    <row r="277">
      <c r="A277" s="16">
        <f>IF($B277="","",COUNTA($B$4:$B277))</f>
        <v/>
      </c>
      <c r="B277" s="72" t="n"/>
      <c r="C277" s="46" t="n"/>
      <c r="D277" s="47" t="n"/>
      <c r="E277" s="47" t="n"/>
      <c r="F277" s="47" t="n"/>
      <c r="G277" s="47" t="n"/>
      <c r="H277" s="47" t="n"/>
      <c r="I277" s="47" t="n"/>
      <c r="J277" s="40" t="n"/>
    </row>
    <row r="278">
      <c r="A278" s="16">
        <f>IF($B278="","",COUNTA($B$4:$B278))</f>
        <v/>
      </c>
      <c r="B278" s="71" t="n"/>
      <c r="C278" s="44" t="n"/>
      <c r="D278" s="45" t="n"/>
      <c r="E278" s="45" t="n"/>
      <c r="F278" s="45" t="n"/>
      <c r="G278" s="45" t="n"/>
      <c r="H278" s="45" t="n"/>
      <c r="I278" s="45" t="n"/>
      <c r="J278" s="38" t="n"/>
    </row>
    <row r="279">
      <c r="A279" s="16">
        <f>IF($B279="","",COUNTA($B$4:$B279))</f>
        <v/>
      </c>
      <c r="B279" s="72" t="n"/>
      <c r="C279" s="46" t="n"/>
      <c r="D279" s="47" t="n"/>
      <c r="E279" s="47" t="n"/>
      <c r="F279" s="47" t="n"/>
      <c r="G279" s="47" t="n"/>
      <c r="H279" s="47" t="n"/>
      <c r="I279" s="47" t="n"/>
      <c r="J279" s="40" t="n"/>
    </row>
    <row r="280">
      <c r="A280" s="16">
        <f>IF($B280="","",COUNTA($B$4:$B280))</f>
        <v/>
      </c>
      <c r="B280" s="71" t="n"/>
      <c r="C280" s="44" t="n"/>
      <c r="D280" s="45" t="n"/>
      <c r="E280" s="45" t="n"/>
      <c r="F280" s="45" t="n"/>
      <c r="G280" s="45" t="n"/>
      <c r="H280" s="45" t="n"/>
      <c r="I280" s="45" t="n"/>
      <c r="J280" s="38" t="n"/>
    </row>
    <row r="281">
      <c r="A281" s="16">
        <f>IF($B281="","",COUNTA($B$4:$B281))</f>
        <v/>
      </c>
      <c r="B281" s="72" t="n"/>
      <c r="C281" s="46" t="n"/>
      <c r="D281" s="47" t="n"/>
      <c r="E281" s="47" t="n"/>
      <c r="F281" s="47" t="n"/>
      <c r="G281" s="47" t="n"/>
      <c r="H281" s="47" t="n"/>
      <c r="I281" s="47" t="n"/>
      <c r="J281" s="40" t="n"/>
    </row>
    <row r="282">
      <c r="A282" s="16">
        <f>IF($B282="","",COUNTA($B$4:$B282))</f>
        <v/>
      </c>
      <c r="B282" s="71" t="n"/>
      <c r="C282" s="44" t="n"/>
      <c r="D282" s="45" t="n"/>
      <c r="E282" s="45" t="n"/>
      <c r="F282" s="45" t="n"/>
      <c r="G282" s="45" t="n"/>
      <c r="H282" s="45" t="n"/>
      <c r="I282" s="45" t="n"/>
      <c r="J282" s="38" t="n"/>
    </row>
    <row r="283">
      <c r="A283" s="16">
        <f>IF($B283="","",COUNTA($B$4:$B283))</f>
        <v/>
      </c>
      <c r="B283" s="72" t="n"/>
      <c r="C283" s="46" t="n"/>
      <c r="D283" s="47" t="n"/>
      <c r="E283" s="47" t="n"/>
      <c r="F283" s="47" t="n"/>
      <c r="G283" s="47" t="n"/>
      <c r="H283" s="47" t="n"/>
      <c r="I283" s="47" t="n"/>
      <c r="J283" s="40" t="n"/>
    </row>
    <row r="284">
      <c r="A284" s="16">
        <f>IF($B284="","",COUNTA($B$4:$B284))</f>
        <v/>
      </c>
      <c r="B284" s="71" t="n"/>
      <c r="C284" s="44" t="n"/>
      <c r="D284" s="45" t="n"/>
      <c r="E284" s="45" t="n"/>
      <c r="F284" s="45" t="n"/>
      <c r="G284" s="45" t="n"/>
      <c r="H284" s="45" t="n"/>
      <c r="I284" s="45" t="n"/>
      <c r="J284" s="38" t="n"/>
    </row>
    <row r="285">
      <c r="A285" s="16">
        <f>IF($B285="","",COUNTA($B$4:$B285))</f>
        <v/>
      </c>
      <c r="B285" s="72" t="n"/>
      <c r="C285" s="46" t="n"/>
      <c r="D285" s="47" t="n"/>
      <c r="E285" s="47" t="n"/>
      <c r="F285" s="47" t="n"/>
      <c r="G285" s="47" t="n"/>
      <c r="H285" s="47" t="n"/>
      <c r="I285" s="47" t="n"/>
      <c r="J285" s="40" t="n"/>
    </row>
    <row r="286">
      <c r="A286" s="16">
        <f>IF($B286="","",COUNTA($B$4:$B286))</f>
        <v/>
      </c>
      <c r="B286" s="71" t="n"/>
      <c r="C286" s="44" t="n"/>
      <c r="D286" s="45" t="n"/>
      <c r="E286" s="45" t="n"/>
      <c r="F286" s="45" t="n"/>
      <c r="G286" s="45" t="n"/>
      <c r="H286" s="45" t="n"/>
      <c r="I286" s="45" t="n"/>
      <c r="J286" s="38" t="n"/>
    </row>
    <row r="287">
      <c r="A287" s="16">
        <f>IF($B287="","",COUNTA($B$4:$B287))</f>
        <v/>
      </c>
      <c r="B287" s="72" t="n"/>
      <c r="C287" s="46" t="n"/>
      <c r="D287" s="47" t="n"/>
      <c r="E287" s="47" t="n"/>
      <c r="F287" s="47" t="n"/>
      <c r="G287" s="47" t="n"/>
      <c r="H287" s="47" t="n"/>
      <c r="I287" s="47" t="n"/>
      <c r="J287" s="40" t="n"/>
    </row>
    <row r="288">
      <c r="A288" s="16">
        <f>IF($B288="","",COUNTA($B$4:$B288))</f>
        <v/>
      </c>
      <c r="B288" s="71" t="n"/>
      <c r="C288" s="44" t="n"/>
      <c r="D288" s="45" t="n"/>
      <c r="E288" s="45" t="n"/>
      <c r="F288" s="45" t="n"/>
      <c r="G288" s="45" t="n"/>
      <c r="H288" s="45" t="n"/>
      <c r="I288" s="45" t="n"/>
      <c r="J288" s="38" t="n"/>
    </row>
    <row r="289">
      <c r="A289" s="16">
        <f>IF($B289="","",COUNTA($B$4:$B289))</f>
        <v/>
      </c>
      <c r="B289" s="72" t="n"/>
      <c r="C289" s="46" t="n"/>
      <c r="D289" s="47" t="n"/>
      <c r="E289" s="47" t="n"/>
      <c r="F289" s="47" t="n"/>
      <c r="G289" s="47" t="n"/>
      <c r="H289" s="47" t="n"/>
      <c r="I289" s="47" t="n"/>
      <c r="J289" s="40" t="n"/>
    </row>
    <row r="290">
      <c r="A290" s="16">
        <f>IF($B290="","",COUNTA($B$4:$B290))</f>
        <v/>
      </c>
      <c r="B290" s="71" t="n"/>
      <c r="C290" s="44" t="n"/>
      <c r="D290" s="45" t="n"/>
      <c r="E290" s="45" t="n"/>
      <c r="F290" s="45" t="n"/>
      <c r="G290" s="45" t="n"/>
      <c r="H290" s="45" t="n"/>
      <c r="I290" s="45" t="n"/>
      <c r="J290" s="38" t="n"/>
    </row>
    <row r="291">
      <c r="A291" s="16">
        <f>IF($B291="","",COUNTA($B$4:$B291))</f>
        <v/>
      </c>
      <c r="B291" s="72" t="n"/>
      <c r="C291" s="46" t="n"/>
      <c r="D291" s="47" t="n"/>
      <c r="E291" s="47" t="n"/>
      <c r="F291" s="47" t="n"/>
      <c r="G291" s="47" t="n"/>
      <c r="H291" s="47" t="n"/>
      <c r="I291" s="47" t="n"/>
      <c r="J291" s="40" t="n"/>
    </row>
    <row r="292">
      <c r="A292" s="16">
        <f>IF($B292="","",COUNTA($B$4:$B292))</f>
        <v/>
      </c>
      <c r="B292" s="71" t="n"/>
      <c r="C292" s="44" t="n"/>
      <c r="D292" s="45" t="n"/>
      <c r="E292" s="45" t="n"/>
      <c r="F292" s="45" t="n"/>
      <c r="G292" s="45" t="n"/>
      <c r="H292" s="45" t="n"/>
      <c r="I292" s="45" t="n"/>
      <c r="J292" s="38" t="n"/>
    </row>
    <row r="293">
      <c r="A293" s="16">
        <f>IF($B293="","",COUNTA($B$4:$B293))</f>
        <v/>
      </c>
      <c r="B293" s="72" t="n"/>
      <c r="C293" s="46" t="n"/>
      <c r="D293" s="47" t="n"/>
      <c r="E293" s="47" t="n"/>
      <c r="F293" s="47" t="n"/>
      <c r="G293" s="47" t="n"/>
      <c r="H293" s="47" t="n"/>
      <c r="I293" s="47" t="n"/>
      <c r="J293" s="40" t="n"/>
    </row>
    <row r="294">
      <c r="A294" s="16">
        <f>IF($B294="","",COUNTA($B$4:$B294))</f>
        <v/>
      </c>
      <c r="B294" s="71" t="n"/>
      <c r="C294" s="44" t="n"/>
      <c r="D294" s="45" t="n"/>
      <c r="E294" s="45" t="n"/>
      <c r="F294" s="45" t="n"/>
      <c r="G294" s="45" t="n"/>
      <c r="H294" s="45" t="n"/>
      <c r="I294" s="45" t="n"/>
      <c r="J294" s="38" t="n"/>
    </row>
    <row r="295">
      <c r="A295" s="16">
        <f>IF($B295="","",COUNTA($B$4:$B295))</f>
        <v/>
      </c>
      <c r="B295" s="72" t="n"/>
      <c r="C295" s="46" t="n"/>
      <c r="D295" s="47" t="n"/>
      <c r="E295" s="47" t="n"/>
      <c r="F295" s="47" t="n"/>
      <c r="G295" s="47" t="n"/>
      <c r="H295" s="47" t="n"/>
      <c r="I295" s="47" t="n"/>
      <c r="J295" s="40" t="n"/>
    </row>
    <row r="296">
      <c r="A296" s="16">
        <f>IF($B296="","",COUNTA($B$4:$B296))</f>
        <v/>
      </c>
      <c r="B296" s="71" t="n"/>
      <c r="C296" s="44" t="n"/>
      <c r="D296" s="45" t="n"/>
      <c r="E296" s="45" t="n"/>
      <c r="F296" s="45" t="n"/>
      <c r="G296" s="45" t="n"/>
      <c r="H296" s="45" t="n"/>
      <c r="I296" s="45" t="n"/>
      <c r="J296" s="38" t="n"/>
    </row>
    <row r="297">
      <c r="A297" s="16">
        <f>IF($B297="","",COUNTA($B$4:$B297))</f>
        <v/>
      </c>
      <c r="B297" s="72" t="n"/>
      <c r="C297" s="46" t="n"/>
      <c r="D297" s="47" t="n"/>
      <c r="E297" s="47" t="n"/>
      <c r="F297" s="47" t="n"/>
      <c r="G297" s="47" t="n"/>
      <c r="H297" s="47" t="n"/>
      <c r="I297" s="47" t="n"/>
      <c r="J297" s="40" t="n"/>
    </row>
    <row r="298">
      <c r="A298" s="16">
        <f>IF($B298="","",COUNTA($B$4:$B298))</f>
        <v/>
      </c>
      <c r="B298" s="71" t="n"/>
      <c r="C298" s="44" t="n"/>
      <c r="D298" s="45" t="n"/>
      <c r="E298" s="45" t="n"/>
      <c r="F298" s="45" t="n"/>
      <c r="G298" s="45" t="n"/>
      <c r="H298" s="45" t="n"/>
      <c r="I298" s="45" t="n"/>
      <c r="J298" s="38" t="n"/>
    </row>
    <row r="299">
      <c r="A299" s="16">
        <f>IF($B299="","",COUNTA($B$4:$B299))</f>
        <v/>
      </c>
      <c r="B299" s="72" t="n"/>
      <c r="C299" s="46" t="n"/>
      <c r="D299" s="47" t="n"/>
      <c r="E299" s="47" t="n"/>
      <c r="F299" s="47" t="n"/>
      <c r="G299" s="47" t="n"/>
      <c r="H299" s="47" t="n"/>
      <c r="I299" s="47" t="n"/>
      <c r="J299" s="40" t="n"/>
    </row>
    <row r="300">
      <c r="A300" s="16">
        <f>IF($B300="","",COUNTA($B$4:$B300))</f>
        <v/>
      </c>
      <c r="B300" s="71" t="n"/>
      <c r="C300" s="44" t="n"/>
      <c r="D300" s="45" t="n"/>
      <c r="E300" s="45" t="n"/>
      <c r="F300" s="45" t="n"/>
      <c r="G300" s="45" t="n"/>
      <c r="H300" s="45" t="n"/>
      <c r="I300" s="45" t="n"/>
      <c r="J300" s="38" t="n"/>
    </row>
    <row r="301">
      <c r="A301" s="16">
        <f>IF($B301="","",COUNTA($B$4:$B301))</f>
        <v/>
      </c>
      <c r="B301" s="72" t="n"/>
      <c r="C301" s="46" t="n"/>
      <c r="D301" s="47" t="n"/>
      <c r="E301" s="47" t="n"/>
      <c r="F301" s="47" t="n"/>
      <c r="G301" s="47" t="n"/>
      <c r="H301" s="47" t="n"/>
      <c r="I301" s="47" t="n"/>
      <c r="J301" s="40" t="n"/>
    </row>
    <row r="302">
      <c r="A302" s="16">
        <f>IF($B302="","",COUNTA($B$4:$B302))</f>
        <v/>
      </c>
      <c r="B302" s="71" t="n"/>
      <c r="C302" s="44" t="n"/>
      <c r="D302" s="45" t="n"/>
      <c r="E302" s="45" t="n"/>
      <c r="F302" s="45" t="n"/>
      <c r="G302" s="45" t="n"/>
      <c r="H302" s="45" t="n"/>
      <c r="I302" s="45" t="n"/>
      <c r="J302" s="38" t="n"/>
    </row>
    <row r="303">
      <c r="A303" s="16">
        <f>IF($B303="","",COUNTA($B$4:$B303))</f>
        <v/>
      </c>
      <c r="B303" s="72" t="n"/>
      <c r="C303" s="46" t="n"/>
      <c r="D303" s="47" t="n"/>
      <c r="E303" s="47" t="n"/>
      <c r="F303" s="47" t="n"/>
      <c r="G303" s="47" t="n"/>
      <c r="H303" s="47" t="n"/>
      <c r="I303" s="47" t="n"/>
      <c r="J303" s="40" t="n"/>
    </row>
    <row r="304">
      <c r="A304" s="16">
        <f>IF($B304="","",COUNTA($B$4:$B304))</f>
        <v/>
      </c>
      <c r="B304" s="71" t="n"/>
      <c r="C304" s="44" t="n"/>
      <c r="D304" s="45" t="n"/>
      <c r="E304" s="45" t="n"/>
      <c r="F304" s="45" t="n"/>
      <c r="G304" s="45" t="n"/>
      <c r="H304" s="45" t="n"/>
      <c r="I304" s="45" t="n"/>
      <c r="J304" s="38" t="n"/>
    </row>
    <row r="305">
      <c r="A305" s="16">
        <f>IF($B305="","",COUNTA($B$4:$B305))</f>
        <v/>
      </c>
      <c r="B305" s="72" t="n"/>
      <c r="C305" s="46" t="n"/>
      <c r="D305" s="47" t="n"/>
      <c r="E305" s="47" t="n"/>
      <c r="F305" s="47" t="n"/>
      <c r="G305" s="47" t="n"/>
      <c r="H305" s="47" t="n"/>
      <c r="I305" s="47" t="n"/>
      <c r="J305" s="40" t="n"/>
    </row>
    <row r="306">
      <c r="A306" s="16">
        <f>IF($B306="","",COUNTA($B$4:$B306))</f>
        <v/>
      </c>
      <c r="B306" s="71" t="n"/>
      <c r="C306" s="44" t="n"/>
      <c r="D306" s="45" t="n"/>
      <c r="E306" s="45" t="n"/>
      <c r="F306" s="45" t="n"/>
      <c r="G306" s="45" t="n"/>
      <c r="H306" s="45" t="n"/>
      <c r="I306" s="45" t="n"/>
      <c r="J306" s="38" t="n"/>
    </row>
    <row r="307">
      <c r="A307" s="16">
        <f>IF($B307="","",COUNTA($B$4:$B307))</f>
        <v/>
      </c>
      <c r="B307" s="72" t="n"/>
      <c r="C307" s="46" t="n"/>
      <c r="D307" s="47" t="n"/>
      <c r="E307" s="47" t="n"/>
      <c r="F307" s="47" t="n"/>
      <c r="G307" s="47" t="n"/>
      <c r="H307" s="47" t="n"/>
      <c r="I307" s="47" t="n"/>
      <c r="J307" s="40" t="n"/>
    </row>
    <row r="308">
      <c r="A308" s="16">
        <f>IF($B308="","",COUNTA($B$4:$B308))</f>
        <v/>
      </c>
      <c r="B308" s="71" t="n"/>
      <c r="C308" s="44" t="n"/>
      <c r="D308" s="45" t="n"/>
      <c r="E308" s="45" t="n"/>
      <c r="F308" s="45" t="n"/>
      <c r="G308" s="45" t="n"/>
      <c r="H308" s="45" t="n"/>
      <c r="I308" s="45" t="n"/>
      <c r="J308" s="38" t="n"/>
    </row>
    <row r="309">
      <c r="A309" s="16">
        <f>IF($B309="","",COUNTA($B$4:$B309))</f>
        <v/>
      </c>
      <c r="B309" s="72" t="n"/>
      <c r="C309" s="46" t="n"/>
      <c r="D309" s="47" t="n"/>
      <c r="E309" s="47" t="n"/>
      <c r="F309" s="47" t="n"/>
      <c r="G309" s="47" t="n"/>
      <c r="H309" s="47" t="n"/>
      <c r="I309" s="47" t="n"/>
      <c r="J309" s="40" t="n"/>
    </row>
    <row r="310">
      <c r="A310" s="16">
        <f>IF($B310="","",COUNTA($B$4:$B310))</f>
        <v/>
      </c>
      <c r="B310" s="71" t="n"/>
      <c r="C310" s="44" t="n"/>
      <c r="D310" s="45" t="n"/>
      <c r="E310" s="45" t="n"/>
      <c r="F310" s="45" t="n"/>
      <c r="G310" s="45" t="n"/>
      <c r="H310" s="45" t="n"/>
      <c r="I310" s="45" t="n"/>
      <c r="J310" s="38" t="n"/>
    </row>
    <row r="311">
      <c r="A311" s="16">
        <f>IF($B311="","",COUNTA($B$4:$B311))</f>
        <v/>
      </c>
      <c r="B311" s="72" t="n"/>
      <c r="C311" s="46" t="n"/>
      <c r="D311" s="47" t="n"/>
      <c r="E311" s="47" t="n"/>
      <c r="F311" s="47" t="n"/>
      <c r="G311" s="47" t="n"/>
      <c r="H311" s="47" t="n"/>
      <c r="I311" s="47" t="n"/>
      <c r="J311" s="40" t="n"/>
    </row>
    <row r="312">
      <c r="A312" s="16">
        <f>IF($B312="","",COUNTA($B$4:$B312))</f>
        <v/>
      </c>
      <c r="B312" s="71" t="n"/>
      <c r="C312" s="44" t="n"/>
      <c r="D312" s="45" t="n"/>
      <c r="E312" s="45" t="n"/>
      <c r="F312" s="45" t="n"/>
      <c r="G312" s="45" t="n"/>
      <c r="H312" s="45" t="n"/>
      <c r="I312" s="45" t="n"/>
      <c r="J312" s="38" t="n"/>
    </row>
    <row r="313">
      <c r="A313" s="16">
        <f>IF($B313="","",COUNTA($B$4:$B313))</f>
        <v/>
      </c>
      <c r="B313" s="72" t="n"/>
      <c r="C313" s="46" t="n"/>
      <c r="D313" s="47" t="n"/>
      <c r="E313" s="47" t="n"/>
      <c r="F313" s="47" t="n"/>
      <c r="G313" s="47" t="n"/>
      <c r="H313" s="47" t="n"/>
      <c r="I313" s="47" t="n"/>
      <c r="J313" s="40" t="n"/>
    </row>
    <row r="314">
      <c r="A314" s="16">
        <f>IF($B314="","",COUNTA($B$4:$B314))</f>
        <v/>
      </c>
      <c r="B314" s="71" t="n"/>
      <c r="C314" s="44" t="n"/>
      <c r="D314" s="45" t="n"/>
      <c r="E314" s="45" t="n"/>
      <c r="F314" s="45" t="n"/>
      <c r="G314" s="45" t="n"/>
      <c r="H314" s="45" t="n"/>
      <c r="I314" s="45" t="n"/>
      <c r="J314" s="38" t="n"/>
    </row>
    <row r="315">
      <c r="A315" s="16">
        <f>IF($B315="","",COUNTA($B$4:$B315))</f>
        <v/>
      </c>
      <c r="B315" s="72" t="n"/>
      <c r="C315" s="46" t="n"/>
      <c r="D315" s="47" t="n"/>
      <c r="E315" s="47" t="n"/>
      <c r="F315" s="47" t="n"/>
      <c r="G315" s="47" t="n"/>
      <c r="H315" s="47" t="n"/>
      <c r="I315" s="47" t="n"/>
      <c r="J315" s="40" t="n"/>
    </row>
    <row r="316">
      <c r="A316" s="16">
        <f>IF($B316="","",COUNTA($B$4:$B316))</f>
        <v/>
      </c>
      <c r="B316" s="71" t="n"/>
      <c r="C316" s="44" t="n"/>
      <c r="D316" s="45" t="n"/>
      <c r="E316" s="45" t="n"/>
      <c r="F316" s="45" t="n"/>
      <c r="G316" s="45" t="n"/>
      <c r="H316" s="45" t="n"/>
      <c r="I316" s="45" t="n"/>
      <c r="J316" s="38" t="n"/>
    </row>
    <row r="317">
      <c r="A317" s="16">
        <f>IF($B317="","",COUNTA($B$4:$B317))</f>
        <v/>
      </c>
      <c r="B317" s="72" t="n"/>
      <c r="C317" s="46" t="n"/>
      <c r="D317" s="47" t="n"/>
      <c r="E317" s="47" t="n"/>
      <c r="F317" s="47" t="n"/>
      <c r="G317" s="47" t="n"/>
      <c r="H317" s="47" t="n"/>
      <c r="I317" s="47" t="n"/>
      <c r="J317" s="40" t="n"/>
    </row>
    <row r="318">
      <c r="A318" s="16">
        <f>IF($B318="","",COUNTA($B$4:$B318))</f>
        <v/>
      </c>
      <c r="B318" s="71" t="n"/>
      <c r="C318" s="44" t="n"/>
      <c r="D318" s="45" t="n"/>
      <c r="E318" s="45" t="n"/>
      <c r="F318" s="45" t="n"/>
      <c r="G318" s="45" t="n"/>
      <c r="H318" s="45" t="n"/>
      <c r="I318" s="45" t="n"/>
      <c r="J318" s="38" t="n"/>
    </row>
    <row r="319">
      <c r="A319" s="16">
        <f>IF($B319="","",COUNTA($B$4:$B319))</f>
        <v/>
      </c>
      <c r="B319" s="72" t="n"/>
      <c r="C319" s="46" t="n"/>
      <c r="D319" s="47" t="n"/>
      <c r="E319" s="47" t="n"/>
      <c r="F319" s="47" t="n"/>
      <c r="G319" s="47" t="n"/>
      <c r="H319" s="47" t="n"/>
      <c r="I319" s="47" t="n"/>
      <c r="J319" s="40" t="n"/>
    </row>
    <row r="320">
      <c r="A320" s="16">
        <f>IF($B320="","",COUNTA($B$4:$B320))</f>
        <v/>
      </c>
      <c r="B320" s="71" t="n"/>
      <c r="C320" s="44" t="n"/>
      <c r="D320" s="45" t="n"/>
      <c r="E320" s="45" t="n"/>
      <c r="F320" s="45" t="n"/>
      <c r="G320" s="45" t="n"/>
      <c r="H320" s="45" t="n"/>
      <c r="I320" s="45" t="n"/>
      <c r="J320" s="38" t="n"/>
    </row>
    <row r="321">
      <c r="A321" s="16">
        <f>IF($B321="","",COUNTA($B$4:$B321))</f>
        <v/>
      </c>
      <c r="B321" s="72" t="n"/>
      <c r="C321" s="46" t="n"/>
      <c r="D321" s="47" t="n"/>
      <c r="E321" s="47" t="n"/>
      <c r="F321" s="47" t="n"/>
      <c r="G321" s="47" t="n"/>
      <c r="H321" s="47" t="n"/>
      <c r="I321" s="47" t="n"/>
      <c r="J321" s="40" t="n"/>
    </row>
    <row r="322">
      <c r="A322" s="16">
        <f>IF($B322="","",COUNTA($B$4:$B322))</f>
        <v/>
      </c>
      <c r="B322" s="71" t="n"/>
      <c r="C322" s="44" t="n"/>
      <c r="D322" s="45" t="n"/>
      <c r="E322" s="45" t="n"/>
      <c r="F322" s="45" t="n"/>
      <c r="G322" s="45" t="n"/>
      <c r="H322" s="45" t="n"/>
      <c r="I322" s="45" t="n"/>
      <c r="J322" s="38" t="n"/>
    </row>
    <row r="323">
      <c r="A323" s="16">
        <f>IF($B323="","",COUNTA($B$4:$B323))</f>
        <v/>
      </c>
      <c r="B323" s="72" t="n"/>
      <c r="C323" s="46" t="n"/>
      <c r="D323" s="47" t="n"/>
      <c r="E323" s="47" t="n"/>
      <c r="F323" s="47" t="n"/>
      <c r="G323" s="47" t="n"/>
      <c r="H323" s="47" t="n"/>
      <c r="I323" s="47" t="n"/>
      <c r="J323" s="40" t="n"/>
    </row>
    <row r="324">
      <c r="A324" s="16">
        <f>IF($B324="","",COUNTA($B$4:$B324))</f>
        <v/>
      </c>
      <c r="B324" s="71" t="n"/>
      <c r="C324" s="44" t="n"/>
      <c r="D324" s="45" t="n"/>
      <c r="E324" s="45" t="n"/>
      <c r="F324" s="45" t="n"/>
      <c r="G324" s="45" t="n"/>
      <c r="H324" s="45" t="n"/>
      <c r="I324" s="45" t="n"/>
      <c r="J324" s="38" t="n"/>
    </row>
    <row r="325">
      <c r="A325" s="16">
        <f>IF($B325="","",COUNTA($B$4:$B325))</f>
        <v/>
      </c>
      <c r="B325" s="72" t="n"/>
      <c r="C325" s="46" t="n"/>
      <c r="D325" s="47" t="n"/>
      <c r="E325" s="47" t="n"/>
      <c r="F325" s="47" t="n"/>
      <c r="G325" s="47" t="n"/>
      <c r="H325" s="47" t="n"/>
      <c r="I325" s="47" t="n"/>
      <c r="J325" s="40" t="n"/>
    </row>
    <row r="326">
      <c r="A326" s="16">
        <f>IF($B326="","",COUNTA($B$4:$B326))</f>
        <v/>
      </c>
      <c r="B326" s="71" t="n"/>
      <c r="C326" s="44" t="n"/>
      <c r="D326" s="45" t="n"/>
      <c r="E326" s="45" t="n"/>
      <c r="F326" s="45" t="n"/>
      <c r="G326" s="45" t="n"/>
      <c r="H326" s="45" t="n"/>
      <c r="I326" s="45" t="n"/>
      <c r="J326" s="38" t="n"/>
    </row>
    <row r="327">
      <c r="A327" s="16">
        <f>IF($B327="","",COUNTA($B$4:$B327))</f>
        <v/>
      </c>
      <c r="B327" s="72" t="n"/>
      <c r="C327" s="46" t="n"/>
      <c r="D327" s="47" t="n"/>
      <c r="E327" s="47" t="n"/>
      <c r="F327" s="47" t="n"/>
      <c r="G327" s="47" t="n"/>
      <c r="H327" s="47" t="n"/>
      <c r="I327" s="47" t="n"/>
      <c r="J327" s="40" t="n"/>
    </row>
    <row r="328">
      <c r="A328" s="16">
        <f>IF($B328="","",COUNTA($B$4:$B328))</f>
        <v/>
      </c>
      <c r="B328" s="71" t="n"/>
      <c r="C328" s="44" t="n"/>
      <c r="D328" s="45" t="n"/>
      <c r="E328" s="45" t="n"/>
      <c r="F328" s="45" t="n"/>
      <c r="G328" s="45" t="n"/>
      <c r="H328" s="45" t="n"/>
      <c r="I328" s="45" t="n"/>
      <c r="J328" s="38" t="n"/>
    </row>
    <row r="329">
      <c r="A329" s="16">
        <f>IF($B329="","",COUNTA($B$4:$B329))</f>
        <v/>
      </c>
      <c r="B329" s="72" t="n"/>
      <c r="C329" s="46" t="n"/>
      <c r="D329" s="47" t="n"/>
      <c r="E329" s="47" t="n"/>
      <c r="F329" s="47" t="n"/>
      <c r="G329" s="47" t="n"/>
      <c r="H329" s="47" t="n"/>
      <c r="I329" s="47" t="n"/>
      <c r="J329" s="40" t="n"/>
    </row>
    <row r="330">
      <c r="A330" s="16">
        <f>IF($B330="","",COUNTA($B$4:$B330))</f>
        <v/>
      </c>
      <c r="B330" s="71" t="n"/>
      <c r="C330" s="44" t="n"/>
      <c r="D330" s="45" t="n"/>
      <c r="E330" s="45" t="n"/>
      <c r="F330" s="45" t="n"/>
      <c r="G330" s="45" t="n"/>
      <c r="H330" s="45" t="n"/>
      <c r="I330" s="45" t="n"/>
      <c r="J330" s="38" t="n"/>
    </row>
    <row r="331">
      <c r="A331" s="16">
        <f>IF($B331="","",COUNTA($B$4:$B331))</f>
        <v/>
      </c>
      <c r="B331" s="72" t="n"/>
      <c r="C331" s="46" t="n"/>
      <c r="D331" s="47" t="n"/>
      <c r="E331" s="47" t="n"/>
      <c r="F331" s="47" t="n"/>
      <c r="G331" s="47" t="n"/>
      <c r="H331" s="47" t="n"/>
      <c r="I331" s="47" t="n"/>
      <c r="J331" s="40" t="n"/>
    </row>
    <row r="332">
      <c r="A332" s="16">
        <f>IF($B332="","",COUNTA($B$4:$B332))</f>
        <v/>
      </c>
      <c r="B332" s="71" t="n"/>
      <c r="C332" s="44" t="n"/>
      <c r="D332" s="45" t="n"/>
      <c r="E332" s="45" t="n"/>
      <c r="F332" s="45" t="n"/>
      <c r="G332" s="45" t="n"/>
      <c r="H332" s="45" t="n"/>
      <c r="I332" s="45" t="n"/>
      <c r="J332" s="38" t="n"/>
    </row>
    <row r="333">
      <c r="A333" s="16">
        <f>IF($B333="","",COUNTA($B$4:$B333))</f>
        <v/>
      </c>
      <c r="B333" s="72" t="n"/>
      <c r="C333" s="46" t="n"/>
      <c r="D333" s="47" t="n"/>
      <c r="E333" s="47" t="n"/>
      <c r="F333" s="47" t="n"/>
      <c r="G333" s="47" t="n"/>
      <c r="H333" s="47" t="n"/>
      <c r="I333" s="47" t="n"/>
      <c r="J333" s="40" t="n"/>
    </row>
    <row r="334">
      <c r="A334" s="16">
        <f>IF($B334="","",COUNTA($B$4:$B334))</f>
        <v/>
      </c>
      <c r="B334" s="71" t="n"/>
      <c r="C334" s="44" t="n"/>
      <c r="D334" s="45" t="n"/>
      <c r="E334" s="45" t="n"/>
      <c r="F334" s="45" t="n"/>
      <c r="G334" s="45" t="n"/>
      <c r="H334" s="45" t="n"/>
      <c r="I334" s="45" t="n"/>
      <c r="J334" s="38" t="n"/>
    </row>
    <row r="335">
      <c r="A335" s="16">
        <f>IF($B335="","",COUNTA($B$4:$B335))</f>
        <v/>
      </c>
      <c r="B335" s="72" t="n"/>
      <c r="C335" s="46" t="n"/>
      <c r="D335" s="47" t="n"/>
      <c r="E335" s="47" t="n"/>
      <c r="F335" s="47" t="n"/>
      <c r="G335" s="47" t="n"/>
      <c r="H335" s="47" t="n"/>
      <c r="I335" s="47" t="n"/>
      <c r="J335" s="40" t="n"/>
    </row>
    <row r="336">
      <c r="A336" s="16">
        <f>IF($B336="","",COUNTA($B$4:$B336))</f>
        <v/>
      </c>
      <c r="B336" s="71" t="n"/>
      <c r="C336" s="44" t="n"/>
      <c r="D336" s="45" t="n"/>
      <c r="E336" s="45" t="n"/>
      <c r="F336" s="45" t="n"/>
      <c r="G336" s="45" t="n"/>
      <c r="H336" s="45" t="n"/>
      <c r="I336" s="45" t="n"/>
      <c r="J336" s="38" t="n"/>
    </row>
    <row r="337">
      <c r="A337" s="16">
        <f>IF($B337="","",COUNTA($B$4:$B337))</f>
        <v/>
      </c>
      <c r="B337" s="72" t="n"/>
      <c r="C337" s="46" t="n"/>
      <c r="D337" s="47" t="n"/>
      <c r="E337" s="47" t="n"/>
      <c r="F337" s="47" t="n"/>
      <c r="G337" s="47" t="n"/>
      <c r="H337" s="47" t="n"/>
      <c r="I337" s="47" t="n"/>
      <c r="J337" s="40" t="n"/>
    </row>
    <row r="338">
      <c r="A338" s="16">
        <f>IF($B338="","",COUNTA($B$4:$B338))</f>
        <v/>
      </c>
      <c r="B338" s="71" t="n"/>
      <c r="C338" s="44" t="n"/>
      <c r="D338" s="45" t="n"/>
      <c r="E338" s="45" t="n"/>
      <c r="F338" s="45" t="n"/>
      <c r="G338" s="45" t="n"/>
      <c r="H338" s="45" t="n"/>
      <c r="I338" s="45" t="n"/>
      <c r="J338" s="38" t="n"/>
    </row>
    <row r="339">
      <c r="A339" s="16">
        <f>IF($B339="","",COUNTA($B$4:$B339))</f>
        <v/>
      </c>
      <c r="B339" s="72" t="n"/>
      <c r="C339" s="46" t="n"/>
      <c r="D339" s="47" t="n"/>
      <c r="E339" s="47" t="n"/>
      <c r="F339" s="47" t="n"/>
      <c r="G339" s="47" t="n"/>
      <c r="H339" s="47" t="n"/>
      <c r="I339" s="47" t="n"/>
      <c r="J339" s="40" t="n"/>
    </row>
    <row r="340">
      <c r="A340" s="16">
        <f>IF($B340="","",COUNTA($B$4:$B340))</f>
        <v/>
      </c>
      <c r="B340" s="71" t="n"/>
      <c r="C340" s="44" t="n"/>
      <c r="D340" s="45" t="n"/>
      <c r="E340" s="45" t="n"/>
      <c r="F340" s="45" t="n"/>
      <c r="G340" s="45" t="n"/>
      <c r="H340" s="45" t="n"/>
      <c r="I340" s="45" t="n"/>
      <c r="J340" s="38" t="n"/>
    </row>
    <row r="341">
      <c r="A341" s="16">
        <f>IF($B341="","",COUNTA($B$4:$B341))</f>
        <v/>
      </c>
      <c r="B341" s="72" t="n"/>
      <c r="C341" s="46" t="n"/>
      <c r="D341" s="47" t="n"/>
      <c r="E341" s="47" t="n"/>
      <c r="F341" s="47" t="n"/>
      <c r="G341" s="47" t="n"/>
      <c r="H341" s="47" t="n"/>
      <c r="I341" s="47" t="n"/>
      <c r="J341" s="40" t="n"/>
    </row>
    <row r="342">
      <c r="A342" s="16">
        <f>IF($B342="","",COUNTA($B$4:$B342))</f>
        <v/>
      </c>
      <c r="B342" s="71" t="n"/>
      <c r="C342" s="44" t="n"/>
      <c r="D342" s="45" t="n"/>
      <c r="E342" s="45" t="n"/>
      <c r="F342" s="45" t="n"/>
      <c r="G342" s="45" t="n"/>
      <c r="H342" s="45" t="n"/>
      <c r="I342" s="45" t="n"/>
      <c r="J342" s="38" t="n"/>
    </row>
    <row r="343">
      <c r="A343" s="16">
        <f>IF($B343="","",COUNTA($B$4:$B343))</f>
        <v/>
      </c>
      <c r="B343" s="72" t="n"/>
      <c r="C343" s="46" t="n"/>
      <c r="D343" s="47" t="n"/>
      <c r="E343" s="47" t="n"/>
      <c r="F343" s="47" t="n"/>
      <c r="G343" s="47" t="n"/>
      <c r="H343" s="47" t="n"/>
      <c r="I343" s="47" t="n"/>
      <c r="J343" s="40" t="n"/>
    </row>
    <row r="344">
      <c r="A344" s="16">
        <f>IF($B344="","",COUNTA($B$4:$B344))</f>
        <v/>
      </c>
      <c r="B344" s="71" t="n"/>
      <c r="C344" s="44" t="n"/>
      <c r="D344" s="45" t="n"/>
      <c r="E344" s="45" t="n"/>
      <c r="F344" s="45" t="n"/>
      <c r="G344" s="45" t="n"/>
      <c r="H344" s="45" t="n"/>
      <c r="I344" s="45" t="n"/>
      <c r="J344" s="38" t="n"/>
    </row>
    <row r="345">
      <c r="A345" s="16">
        <f>IF($B345="","",COUNTA($B$4:$B345))</f>
        <v/>
      </c>
      <c r="B345" s="72" t="n"/>
      <c r="C345" s="46" t="n"/>
      <c r="D345" s="47" t="n"/>
      <c r="E345" s="47" t="n"/>
      <c r="F345" s="47" t="n"/>
      <c r="G345" s="47" t="n"/>
      <c r="H345" s="47" t="n"/>
      <c r="I345" s="47" t="n"/>
      <c r="J345" s="40" t="n"/>
    </row>
    <row r="346">
      <c r="A346" s="16">
        <f>IF($B346="","",COUNTA($B$4:$B346))</f>
        <v/>
      </c>
      <c r="B346" s="71" t="n"/>
      <c r="C346" s="44" t="n"/>
      <c r="D346" s="45" t="n"/>
      <c r="E346" s="45" t="n"/>
      <c r="F346" s="45" t="n"/>
      <c r="G346" s="45" t="n"/>
      <c r="H346" s="45" t="n"/>
      <c r="I346" s="45" t="n"/>
      <c r="J346" s="38" t="n"/>
    </row>
    <row r="347">
      <c r="A347" s="16">
        <f>IF($B347="","",COUNTA($B$4:$B347))</f>
        <v/>
      </c>
      <c r="B347" s="72" t="n"/>
      <c r="C347" s="46" t="n"/>
      <c r="D347" s="47" t="n"/>
      <c r="E347" s="47" t="n"/>
      <c r="F347" s="47" t="n"/>
      <c r="G347" s="47" t="n"/>
      <c r="H347" s="47" t="n"/>
      <c r="I347" s="47" t="n"/>
      <c r="J347" s="40" t="n"/>
    </row>
    <row r="348">
      <c r="A348" s="16">
        <f>IF($B348="","",COUNTA($B$4:$B348))</f>
        <v/>
      </c>
      <c r="B348" s="71" t="n"/>
      <c r="C348" s="44" t="n"/>
      <c r="D348" s="45" t="n"/>
      <c r="E348" s="45" t="n"/>
      <c r="F348" s="45" t="n"/>
      <c r="G348" s="45" t="n"/>
      <c r="H348" s="45" t="n"/>
      <c r="I348" s="45" t="n"/>
      <c r="J348" s="38" t="n"/>
    </row>
    <row r="349">
      <c r="A349" s="16">
        <f>IF($B349="","",COUNTA($B$4:$B349))</f>
        <v/>
      </c>
      <c r="B349" s="72" t="n"/>
      <c r="C349" s="46" t="n"/>
      <c r="D349" s="47" t="n"/>
      <c r="E349" s="47" t="n"/>
      <c r="F349" s="47" t="n"/>
      <c r="G349" s="47" t="n"/>
      <c r="H349" s="47" t="n"/>
      <c r="I349" s="47" t="n"/>
      <c r="J349" s="40" t="n"/>
    </row>
    <row r="350">
      <c r="A350" s="16">
        <f>IF($B350="","",COUNTA($B$4:$B350))</f>
        <v/>
      </c>
      <c r="B350" s="71" t="n"/>
      <c r="C350" s="44" t="n"/>
      <c r="D350" s="45" t="n"/>
      <c r="E350" s="45" t="n"/>
      <c r="F350" s="45" t="n"/>
      <c r="G350" s="45" t="n"/>
      <c r="H350" s="45" t="n"/>
      <c r="I350" s="45" t="n"/>
      <c r="J350" s="38" t="n"/>
    </row>
    <row r="351">
      <c r="A351" s="16">
        <f>IF($B351="","",COUNTA($B$4:$B351))</f>
        <v/>
      </c>
      <c r="B351" s="72" t="n"/>
      <c r="C351" s="46" t="n"/>
      <c r="D351" s="47" t="n"/>
      <c r="E351" s="47" t="n"/>
      <c r="F351" s="47" t="n"/>
      <c r="G351" s="47" t="n"/>
      <c r="H351" s="47" t="n"/>
      <c r="I351" s="47" t="n"/>
      <c r="J351" s="40" t="n"/>
    </row>
    <row r="352">
      <c r="A352" s="16">
        <f>IF($B352="","",COUNTA($B$4:$B352))</f>
        <v/>
      </c>
      <c r="B352" s="71" t="n"/>
      <c r="C352" s="44" t="n"/>
      <c r="D352" s="45" t="n"/>
      <c r="E352" s="45" t="n"/>
      <c r="F352" s="45" t="n"/>
      <c r="G352" s="45" t="n"/>
      <c r="H352" s="45" t="n"/>
      <c r="I352" s="45" t="n"/>
      <c r="J352" s="38" t="n"/>
    </row>
    <row r="353">
      <c r="A353" s="16">
        <f>IF($B353="","",COUNTA($B$4:$B353))</f>
        <v/>
      </c>
      <c r="B353" s="72" t="n"/>
      <c r="C353" s="46" t="n"/>
      <c r="D353" s="47" t="n"/>
      <c r="E353" s="47" t="n"/>
      <c r="F353" s="47" t="n"/>
      <c r="G353" s="47" t="n"/>
      <c r="H353" s="47" t="n"/>
      <c r="I353" s="47" t="n"/>
      <c r="J353" s="40" t="n"/>
    </row>
    <row r="354">
      <c r="A354" s="16">
        <f>IF($B354="","",COUNTA($B$4:$B354))</f>
        <v/>
      </c>
      <c r="B354" s="71" t="n"/>
      <c r="C354" s="44" t="n"/>
      <c r="D354" s="45" t="n"/>
      <c r="E354" s="45" t="n"/>
      <c r="F354" s="45" t="n"/>
      <c r="G354" s="45" t="n"/>
      <c r="H354" s="45" t="n"/>
      <c r="I354" s="45" t="n"/>
      <c r="J354" s="38" t="n"/>
    </row>
    <row r="355">
      <c r="A355" s="16">
        <f>IF($B355="","",COUNTA($B$4:$B355))</f>
        <v/>
      </c>
      <c r="B355" s="72" t="n"/>
      <c r="C355" s="46" t="n"/>
      <c r="D355" s="47" t="n"/>
      <c r="E355" s="47" t="n"/>
      <c r="F355" s="47" t="n"/>
      <c r="G355" s="47" t="n"/>
      <c r="H355" s="47" t="n"/>
      <c r="I355" s="47" t="n"/>
      <c r="J355" s="40" t="n"/>
    </row>
    <row r="356">
      <c r="A356" s="16">
        <f>IF($B356="","",COUNTA($B$4:$B356))</f>
        <v/>
      </c>
      <c r="B356" s="71" t="n"/>
      <c r="C356" s="44" t="n"/>
      <c r="D356" s="45" t="n"/>
      <c r="E356" s="45" t="n"/>
      <c r="F356" s="45" t="n"/>
      <c r="G356" s="45" t="n"/>
      <c r="H356" s="45" t="n"/>
      <c r="I356" s="45" t="n"/>
      <c r="J356" s="38" t="n"/>
    </row>
    <row r="357">
      <c r="A357" s="16">
        <f>IF($B357="","",COUNTA($B$4:$B357))</f>
        <v/>
      </c>
      <c r="B357" s="72" t="n"/>
      <c r="C357" s="46" t="n"/>
      <c r="D357" s="47" t="n"/>
      <c r="E357" s="47" t="n"/>
      <c r="F357" s="47" t="n"/>
      <c r="G357" s="47" t="n"/>
      <c r="H357" s="47" t="n"/>
      <c r="I357" s="47" t="n"/>
      <c r="J357" s="40" t="n"/>
    </row>
    <row r="358">
      <c r="A358" s="16">
        <f>IF($B358="","",COUNTA($B$4:$B358))</f>
        <v/>
      </c>
      <c r="B358" s="71" t="n"/>
      <c r="C358" s="44" t="n"/>
      <c r="D358" s="45" t="n"/>
      <c r="E358" s="45" t="n"/>
      <c r="F358" s="45" t="n"/>
      <c r="G358" s="45" t="n"/>
      <c r="H358" s="45" t="n"/>
      <c r="I358" s="45" t="n"/>
      <c r="J358" s="38" t="n"/>
    </row>
    <row r="359">
      <c r="A359" s="16">
        <f>IF($B359="","",COUNTA($B$4:$B359))</f>
        <v/>
      </c>
      <c r="B359" s="72" t="n"/>
      <c r="C359" s="46" t="n"/>
      <c r="D359" s="47" t="n"/>
      <c r="E359" s="47" t="n"/>
      <c r="F359" s="47" t="n"/>
      <c r="G359" s="47" t="n"/>
      <c r="H359" s="47" t="n"/>
      <c r="I359" s="47" t="n"/>
      <c r="J359" s="40" t="n"/>
    </row>
    <row r="360">
      <c r="A360" s="16">
        <f>IF($B360="","",COUNTA($B$4:$B360))</f>
        <v/>
      </c>
      <c r="B360" s="71" t="n"/>
      <c r="C360" s="44" t="n"/>
      <c r="D360" s="45" t="n"/>
      <c r="E360" s="45" t="n"/>
      <c r="F360" s="45" t="n"/>
      <c r="G360" s="45" t="n"/>
      <c r="H360" s="45" t="n"/>
      <c r="I360" s="45" t="n"/>
      <c r="J360" s="38" t="n"/>
    </row>
    <row r="361">
      <c r="A361" s="16">
        <f>IF($B361="","",COUNTA($B$4:$B361))</f>
        <v/>
      </c>
      <c r="B361" s="72" t="n"/>
      <c r="C361" s="46" t="n"/>
      <c r="D361" s="47" t="n"/>
      <c r="E361" s="47" t="n"/>
      <c r="F361" s="47" t="n"/>
      <c r="G361" s="47" t="n"/>
      <c r="H361" s="47" t="n"/>
      <c r="I361" s="47" t="n"/>
      <c r="J361" s="40" t="n"/>
    </row>
    <row r="362">
      <c r="A362" s="16">
        <f>IF($B362="","",COUNTA($B$4:$B362))</f>
        <v/>
      </c>
      <c r="B362" s="71" t="n"/>
      <c r="C362" s="44" t="n"/>
      <c r="D362" s="45" t="n"/>
      <c r="E362" s="45" t="n"/>
      <c r="F362" s="45" t="n"/>
      <c r="G362" s="45" t="n"/>
      <c r="H362" s="45" t="n"/>
      <c r="I362" s="45" t="n"/>
      <c r="J362" s="38" t="n"/>
    </row>
    <row r="363">
      <c r="A363" s="16">
        <f>IF($B363="","",COUNTA($B$4:$B363))</f>
        <v/>
      </c>
      <c r="B363" s="72" t="n"/>
      <c r="C363" s="46" t="n"/>
      <c r="D363" s="47" t="n"/>
      <c r="E363" s="47" t="n"/>
      <c r="F363" s="47" t="n"/>
      <c r="G363" s="47" t="n"/>
      <c r="H363" s="47" t="n"/>
      <c r="I363" s="47" t="n"/>
      <c r="J363" s="40" t="n"/>
    </row>
    <row r="364">
      <c r="A364" s="16">
        <f>IF($B364="","",COUNTA($B$4:$B364))</f>
        <v/>
      </c>
      <c r="B364" s="71" t="n"/>
      <c r="C364" s="44" t="n"/>
      <c r="D364" s="45" t="n"/>
      <c r="E364" s="45" t="n"/>
      <c r="F364" s="45" t="n"/>
      <c r="G364" s="45" t="n"/>
      <c r="H364" s="45" t="n"/>
      <c r="I364" s="45" t="n"/>
      <c r="J364" s="38" t="n"/>
    </row>
    <row r="365">
      <c r="A365" s="16">
        <f>IF($B365="","",COUNTA($B$4:$B365))</f>
        <v/>
      </c>
      <c r="B365" s="72" t="n"/>
      <c r="C365" s="46" t="n"/>
      <c r="D365" s="47" t="n"/>
      <c r="E365" s="47" t="n"/>
      <c r="F365" s="47" t="n"/>
      <c r="G365" s="47" t="n"/>
      <c r="H365" s="47" t="n"/>
      <c r="I365" s="47" t="n"/>
      <c r="J365" s="40" t="n"/>
    </row>
    <row r="366">
      <c r="A366" s="16">
        <f>IF($B366="","",COUNTA($B$4:$B366))</f>
        <v/>
      </c>
      <c r="B366" s="71" t="n"/>
      <c r="C366" s="44" t="n"/>
      <c r="D366" s="45" t="n"/>
      <c r="E366" s="45" t="n"/>
      <c r="F366" s="45" t="n"/>
      <c r="G366" s="45" t="n"/>
      <c r="H366" s="45" t="n"/>
      <c r="I366" s="45" t="n"/>
      <c r="J366" s="38" t="n"/>
    </row>
    <row r="367">
      <c r="A367" s="16">
        <f>IF($B367="","",COUNTA($B$4:$B367))</f>
        <v/>
      </c>
      <c r="B367" s="72" t="n"/>
      <c r="C367" s="46" t="n"/>
      <c r="D367" s="47" t="n"/>
      <c r="E367" s="47" t="n"/>
      <c r="F367" s="47" t="n"/>
      <c r="G367" s="47" t="n"/>
      <c r="H367" s="47" t="n"/>
      <c r="I367" s="47" t="n"/>
      <c r="J367" s="40" t="n"/>
    </row>
    <row r="368">
      <c r="A368" s="16">
        <f>IF($B368="","",COUNTA($B$4:$B368))</f>
        <v/>
      </c>
      <c r="B368" s="71" t="n"/>
      <c r="C368" s="44" t="n"/>
      <c r="D368" s="45" t="n"/>
      <c r="E368" s="45" t="n"/>
      <c r="F368" s="45" t="n"/>
      <c r="G368" s="45" t="n"/>
      <c r="H368" s="45" t="n"/>
      <c r="I368" s="45" t="n"/>
      <c r="J368" s="38" t="n"/>
    </row>
    <row r="369">
      <c r="A369" s="16">
        <f>IF($B369="","",COUNTA($B$4:$B369))</f>
        <v/>
      </c>
      <c r="B369" s="72" t="n"/>
      <c r="C369" s="46" t="n"/>
      <c r="D369" s="47" t="n"/>
      <c r="E369" s="47" t="n"/>
      <c r="F369" s="47" t="n"/>
      <c r="G369" s="47" t="n"/>
      <c r="H369" s="47" t="n"/>
      <c r="I369" s="47" t="n"/>
      <c r="J369" s="40" t="n"/>
    </row>
    <row r="370">
      <c r="A370" s="16">
        <f>IF($B370="","",COUNTA($B$4:$B370))</f>
        <v/>
      </c>
      <c r="B370" s="71" t="n"/>
      <c r="C370" s="44" t="n"/>
      <c r="D370" s="45" t="n"/>
      <c r="E370" s="45" t="n"/>
      <c r="F370" s="45" t="n"/>
      <c r="G370" s="45" t="n"/>
      <c r="H370" s="45" t="n"/>
      <c r="I370" s="45" t="n"/>
      <c r="J370" s="38" t="n"/>
    </row>
    <row r="371">
      <c r="A371" s="16">
        <f>IF($B371="","",COUNTA($B$4:$B371))</f>
        <v/>
      </c>
      <c r="B371" s="72" t="n"/>
      <c r="C371" s="46" t="n"/>
      <c r="D371" s="47" t="n"/>
      <c r="E371" s="47" t="n"/>
      <c r="F371" s="47" t="n"/>
      <c r="G371" s="47" t="n"/>
      <c r="H371" s="47" t="n"/>
      <c r="I371" s="47" t="n"/>
      <c r="J371" s="40" t="n"/>
    </row>
    <row r="372">
      <c r="A372" s="16">
        <f>IF($B372="","",COUNTA($B$4:$B372))</f>
        <v/>
      </c>
      <c r="B372" s="71" t="n"/>
      <c r="C372" s="44" t="n"/>
      <c r="D372" s="45" t="n"/>
      <c r="E372" s="45" t="n"/>
      <c r="F372" s="45" t="n"/>
      <c r="G372" s="45" t="n"/>
      <c r="H372" s="45" t="n"/>
      <c r="I372" s="45" t="n"/>
      <c r="J372" s="38" t="n"/>
    </row>
    <row r="373">
      <c r="A373" s="16">
        <f>IF($B373="","",COUNTA($B$4:$B373))</f>
        <v/>
      </c>
      <c r="B373" s="72" t="n"/>
      <c r="C373" s="46" t="n"/>
      <c r="D373" s="47" t="n"/>
      <c r="E373" s="47" t="n"/>
      <c r="F373" s="47" t="n"/>
      <c r="G373" s="47" t="n"/>
      <c r="H373" s="47" t="n"/>
      <c r="I373" s="47" t="n"/>
      <c r="J373" s="40" t="n"/>
    </row>
    <row r="374">
      <c r="A374" s="16">
        <f>IF($B374="","",COUNTA($B$4:$B374))</f>
        <v/>
      </c>
      <c r="B374" s="71" t="n"/>
      <c r="C374" s="44" t="n"/>
      <c r="D374" s="45" t="n"/>
      <c r="E374" s="45" t="n"/>
      <c r="F374" s="45" t="n"/>
      <c r="G374" s="45" t="n"/>
      <c r="H374" s="45" t="n"/>
      <c r="I374" s="45" t="n"/>
      <c r="J374" s="38" t="n"/>
    </row>
    <row r="375">
      <c r="A375" s="16">
        <f>IF($B375="","",COUNTA($B$4:$B375))</f>
        <v/>
      </c>
      <c r="B375" s="72" t="n"/>
      <c r="C375" s="46" t="n"/>
      <c r="D375" s="47" t="n"/>
      <c r="E375" s="47" t="n"/>
      <c r="F375" s="47" t="n"/>
      <c r="G375" s="47" t="n"/>
      <c r="H375" s="47" t="n"/>
      <c r="I375" s="47" t="n"/>
      <c r="J375" s="40" t="n"/>
    </row>
    <row r="376">
      <c r="A376" s="16">
        <f>IF($B376="","",COUNTA($B$4:$B376))</f>
        <v/>
      </c>
      <c r="B376" s="71" t="n"/>
      <c r="C376" s="44" t="n"/>
      <c r="D376" s="45" t="n"/>
      <c r="E376" s="45" t="n"/>
      <c r="F376" s="45" t="n"/>
      <c r="G376" s="45" t="n"/>
      <c r="H376" s="45" t="n"/>
      <c r="I376" s="45" t="n"/>
      <c r="J376" s="38" t="n"/>
    </row>
    <row r="377">
      <c r="A377" s="16">
        <f>IF($B377="","",COUNTA($B$4:$B377))</f>
        <v/>
      </c>
      <c r="B377" s="72" t="n"/>
      <c r="C377" s="46" t="n"/>
      <c r="D377" s="47" t="n"/>
      <c r="E377" s="47" t="n"/>
      <c r="F377" s="47" t="n"/>
      <c r="G377" s="47" t="n"/>
      <c r="H377" s="47" t="n"/>
      <c r="I377" s="47" t="n"/>
      <c r="J377" s="40" t="n"/>
    </row>
    <row r="378">
      <c r="A378" s="16">
        <f>IF($B378="","",COUNTA($B$4:$B378))</f>
        <v/>
      </c>
      <c r="B378" s="71" t="n"/>
      <c r="C378" s="44" t="n"/>
      <c r="D378" s="45" t="n"/>
      <c r="E378" s="45" t="n"/>
      <c r="F378" s="45" t="n"/>
      <c r="G378" s="45" t="n"/>
      <c r="H378" s="45" t="n"/>
      <c r="I378" s="45" t="n"/>
      <c r="J378" s="38" t="n"/>
    </row>
    <row r="379">
      <c r="A379" s="16">
        <f>IF($B379="","",COUNTA($B$4:$B379))</f>
        <v/>
      </c>
      <c r="B379" s="72" t="n"/>
      <c r="C379" s="46" t="n"/>
      <c r="D379" s="47" t="n"/>
      <c r="E379" s="47" t="n"/>
      <c r="F379" s="47" t="n"/>
      <c r="G379" s="47" t="n"/>
      <c r="H379" s="47" t="n"/>
      <c r="I379" s="47" t="n"/>
      <c r="J379" s="40" t="n"/>
    </row>
    <row r="380">
      <c r="A380" s="16">
        <f>IF($B380="","",COUNTA($B$4:$B380))</f>
        <v/>
      </c>
      <c r="B380" s="71" t="n"/>
      <c r="C380" s="44" t="n"/>
      <c r="D380" s="45" t="n"/>
      <c r="E380" s="45" t="n"/>
      <c r="F380" s="45" t="n"/>
      <c r="G380" s="45" t="n"/>
      <c r="H380" s="45" t="n"/>
      <c r="I380" s="45" t="n"/>
      <c r="J380" s="38" t="n"/>
    </row>
    <row r="381">
      <c r="A381" s="16">
        <f>IF($B381="","",COUNTA($B$4:$B381))</f>
        <v/>
      </c>
      <c r="B381" s="72" t="n"/>
      <c r="C381" s="46" t="n"/>
      <c r="D381" s="47" t="n"/>
      <c r="E381" s="47" t="n"/>
      <c r="F381" s="47" t="n"/>
      <c r="G381" s="47" t="n"/>
      <c r="H381" s="47" t="n"/>
      <c r="I381" s="47" t="n"/>
      <c r="J381" s="40" t="n"/>
    </row>
    <row r="382">
      <c r="A382" s="16">
        <f>IF($B382="","",COUNTA($B$4:$B382))</f>
        <v/>
      </c>
      <c r="B382" s="71" t="n"/>
      <c r="C382" s="44" t="n"/>
      <c r="D382" s="45" t="n"/>
      <c r="E382" s="45" t="n"/>
      <c r="F382" s="45" t="n"/>
      <c r="G382" s="45" t="n"/>
      <c r="H382" s="45" t="n"/>
      <c r="I382" s="45" t="n"/>
      <c r="J382" s="38" t="n"/>
    </row>
    <row r="383">
      <c r="A383" s="16">
        <f>IF($B383="","",COUNTA($B$4:$B383))</f>
        <v/>
      </c>
      <c r="B383" s="72" t="n"/>
      <c r="C383" s="46" t="n"/>
      <c r="D383" s="47" t="n"/>
      <c r="E383" s="47" t="n"/>
      <c r="F383" s="47" t="n"/>
      <c r="G383" s="47" t="n"/>
      <c r="H383" s="47" t="n"/>
      <c r="I383" s="47" t="n"/>
      <c r="J383" s="40" t="n"/>
    </row>
    <row r="384">
      <c r="A384" s="16">
        <f>IF($B384="","",COUNTA($B$4:$B384))</f>
        <v/>
      </c>
      <c r="B384" s="71" t="n"/>
      <c r="C384" s="44" t="n"/>
      <c r="D384" s="45" t="n"/>
      <c r="E384" s="45" t="n"/>
      <c r="F384" s="45" t="n"/>
      <c r="G384" s="45" t="n"/>
      <c r="H384" s="45" t="n"/>
      <c r="I384" s="45" t="n"/>
      <c r="J384" s="38" t="n"/>
    </row>
    <row r="385">
      <c r="A385" s="16">
        <f>IF($B385="","",COUNTA($B$4:$B385))</f>
        <v/>
      </c>
      <c r="B385" s="72" t="n"/>
      <c r="C385" s="46" t="n"/>
      <c r="D385" s="47" t="n"/>
      <c r="E385" s="47" t="n"/>
      <c r="F385" s="47" t="n"/>
      <c r="G385" s="47" t="n"/>
      <c r="H385" s="47" t="n"/>
      <c r="I385" s="47" t="n"/>
      <c r="J385" s="40" t="n"/>
    </row>
    <row r="386">
      <c r="A386" s="16">
        <f>IF($B386="","",COUNTA($B$4:$B386))</f>
        <v/>
      </c>
      <c r="B386" s="71" t="n"/>
      <c r="C386" s="44" t="n"/>
      <c r="D386" s="45" t="n"/>
      <c r="E386" s="45" t="n"/>
      <c r="F386" s="45" t="n"/>
      <c r="G386" s="45" t="n"/>
      <c r="H386" s="45" t="n"/>
      <c r="I386" s="45" t="n"/>
      <c r="J386" s="38" t="n"/>
    </row>
    <row r="387">
      <c r="A387" s="16">
        <f>IF($B387="","",COUNTA($B$4:$B387))</f>
        <v/>
      </c>
      <c r="B387" s="72" t="n"/>
      <c r="C387" s="46" t="n"/>
      <c r="D387" s="47" t="n"/>
      <c r="E387" s="47" t="n"/>
      <c r="F387" s="47" t="n"/>
      <c r="G387" s="47" t="n"/>
      <c r="H387" s="47" t="n"/>
      <c r="I387" s="47" t="n"/>
      <c r="J387" s="40" t="n"/>
    </row>
    <row r="388">
      <c r="A388" s="16">
        <f>IF($B388="","",COUNTA($B$4:$B388))</f>
        <v/>
      </c>
      <c r="B388" s="71" t="n"/>
      <c r="C388" s="44" t="n"/>
      <c r="D388" s="45" t="n"/>
      <c r="E388" s="45" t="n"/>
      <c r="F388" s="45" t="n"/>
      <c r="G388" s="45" t="n"/>
      <c r="H388" s="45" t="n"/>
      <c r="I388" s="45" t="n"/>
      <c r="J388" s="38" t="n"/>
    </row>
    <row r="389">
      <c r="A389" s="16">
        <f>IF($B389="","",COUNTA($B$4:$B389))</f>
        <v/>
      </c>
      <c r="B389" s="72" t="n"/>
      <c r="C389" s="46" t="n"/>
      <c r="D389" s="47" t="n"/>
      <c r="E389" s="47" t="n"/>
      <c r="F389" s="47" t="n"/>
      <c r="G389" s="47" t="n"/>
      <c r="H389" s="47" t="n"/>
      <c r="I389" s="47" t="n"/>
      <c r="J389" s="40" t="n"/>
    </row>
    <row r="390">
      <c r="A390" s="16">
        <f>IF($B390="","",COUNTA($B$4:$B390))</f>
        <v/>
      </c>
      <c r="B390" s="71" t="n"/>
      <c r="C390" s="44" t="n"/>
      <c r="D390" s="45" t="n"/>
      <c r="E390" s="45" t="n"/>
      <c r="F390" s="45" t="n"/>
      <c r="G390" s="45" t="n"/>
      <c r="H390" s="45" t="n"/>
      <c r="I390" s="45" t="n"/>
      <c r="J390" s="38" t="n"/>
    </row>
    <row r="391">
      <c r="A391" s="16">
        <f>IF($B391="","",COUNTA($B$4:$B391))</f>
        <v/>
      </c>
      <c r="B391" s="72" t="n"/>
      <c r="C391" s="46" t="n"/>
      <c r="D391" s="47" t="n"/>
      <c r="E391" s="47" t="n"/>
      <c r="F391" s="47" t="n"/>
      <c r="G391" s="47" t="n"/>
      <c r="H391" s="47" t="n"/>
      <c r="I391" s="47" t="n"/>
      <c r="J391" s="40" t="n"/>
    </row>
    <row r="392">
      <c r="A392" s="16">
        <f>IF($B392="","",COUNTA($B$4:$B392))</f>
        <v/>
      </c>
      <c r="B392" s="71" t="n"/>
      <c r="C392" s="44" t="n"/>
      <c r="D392" s="45" t="n"/>
      <c r="E392" s="45" t="n"/>
      <c r="F392" s="45" t="n"/>
      <c r="G392" s="45" t="n"/>
      <c r="H392" s="45" t="n"/>
      <c r="I392" s="45" t="n"/>
      <c r="J392" s="38" t="n"/>
    </row>
    <row r="393">
      <c r="A393" s="16">
        <f>IF($B393="","",COUNTA($B$4:$B393))</f>
        <v/>
      </c>
      <c r="B393" s="72" t="n"/>
      <c r="C393" s="46" t="n"/>
      <c r="D393" s="47" t="n"/>
      <c r="E393" s="47" t="n"/>
      <c r="F393" s="47" t="n"/>
      <c r="G393" s="47" t="n"/>
      <c r="H393" s="47" t="n"/>
      <c r="I393" s="47" t="n"/>
      <c r="J393" s="40" t="n"/>
    </row>
    <row r="394">
      <c r="A394" s="16">
        <f>IF($B394="","",COUNTA($B$4:$B394))</f>
        <v/>
      </c>
      <c r="B394" s="71" t="n"/>
      <c r="C394" s="44" t="n"/>
      <c r="D394" s="45" t="n"/>
      <c r="E394" s="45" t="n"/>
      <c r="F394" s="45" t="n"/>
      <c r="G394" s="45" t="n"/>
      <c r="H394" s="45" t="n"/>
      <c r="I394" s="45" t="n"/>
      <c r="J394" s="38" t="n"/>
    </row>
    <row r="395">
      <c r="A395" s="16">
        <f>IF($B395="","",COUNTA($B$4:$B395))</f>
        <v/>
      </c>
      <c r="B395" s="72" t="n"/>
      <c r="C395" s="46" t="n"/>
      <c r="D395" s="47" t="n"/>
      <c r="E395" s="47" t="n"/>
      <c r="F395" s="47" t="n"/>
      <c r="G395" s="47" t="n"/>
      <c r="H395" s="47" t="n"/>
      <c r="I395" s="47" t="n"/>
      <c r="J395" s="40" t="n"/>
    </row>
    <row r="396">
      <c r="A396" s="16">
        <f>IF($B396="","",COUNTA($B$4:$B396))</f>
        <v/>
      </c>
      <c r="B396" s="71" t="n"/>
      <c r="C396" s="44" t="n"/>
      <c r="D396" s="45" t="n"/>
      <c r="E396" s="45" t="n"/>
      <c r="F396" s="45" t="n"/>
      <c r="G396" s="45" t="n"/>
      <c r="H396" s="45" t="n"/>
      <c r="I396" s="45" t="n"/>
      <c r="J396" s="38" t="n"/>
    </row>
    <row r="397">
      <c r="A397" s="16">
        <f>IF($B397="","",COUNTA($B$4:$B397))</f>
        <v/>
      </c>
      <c r="B397" s="72" t="n"/>
      <c r="C397" s="46" t="n"/>
      <c r="D397" s="47" t="n"/>
      <c r="E397" s="47" t="n"/>
      <c r="F397" s="47" t="n"/>
      <c r="G397" s="47" t="n"/>
      <c r="H397" s="47" t="n"/>
      <c r="I397" s="47" t="n"/>
      <c r="J397" s="40" t="n"/>
    </row>
    <row r="398">
      <c r="A398" s="16">
        <f>IF($B398="","",COUNTA($B$4:$B398))</f>
        <v/>
      </c>
      <c r="B398" s="71" t="n"/>
      <c r="C398" s="44" t="n"/>
      <c r="D398" s="45" t="n"/>
      <c r="E398" s="45" t="n"/>
      <c r="F398" s="45" t="n"/>
      <c r="G398" s="45" t="n"/>
      <c r="H398" s="45" t="n"/>
      <c r="I398" s="45" t="n"/>
      <c r="J398" s="38" t="n"/>
    </row>
    <row r="399">
      <c r="A399" s="16">
        <f>IF($B399="","",COUNTA($B$4:$B399))</f>
        <v/>
      </c>
      <c r="B399" s="72" t="n"/>
      <c r="C399" s="46" t="n"/>
      <c r="D399" s="47" t="n"/>
      <c r="E399" s="47" t="n"/>
      <c r="F399" s="47" t="n"/>
      <c r="G399" s="47" t="n"/>
      <c r="H399" s="47" t="n"/>
      <c r="I399" s="47" t="n"/>
      <c r="J399" s="40" t="n"/>
    </row>
    <row r="400">
      <c r="A400" s="16">
        <f>IF($B400="","",COUNTA($B$4:$B400))</f>
        <v/>
      </c>
      <c r="B400" s="71" t="n"/>
      <c r="C400" s="44" t="n"/>
      <c r="D400" s="45" t="n"/>
      <c r="E400" s="45" t="n"/>
      <c r="F400" s="45" t="n"/>
      <c r="G400" s="45" t="n"/>
      <c r="H400" s="45" t="n"/>
      <c r="I400" s="45" t="n"/>
      <c r="J400" s="38" t="n"/>
    </row>
    <row r="401">
      <c r="A401" s="16">
        <f>IF($B401="","",COUNTA($B$4:$B401))</f>
        <v/>
      </c>
      <c r="B401" s="72" t="n"/>
      <c r="C401" s="46" t="n"/>
      <c r="D401" s="47" t="n"/>
      <c r="E401" s="47" t="n"/>
      <c r="F401" s="47" t="n"/>
      <c r="G401" s="47" t="n"/>
      <c r="H401" s="47" t="n"/>
      <c r="I401" s="47" t="n"/>
      <c r="J401" s="40" t="n"/>
    </row>
    <row r="402">
      <c r="A402" s="16">
        <f>IF($B402="","",COUNTA($B$4:$B402))</f>
        <v/>
      </c>
      <c r="B402" s="71" t="n"/>
      <c r="C402" s="44" t="n"/>
      <c r="D402" s="45" t="n"/>
      <c r="E402" s="45" t="n"/>
      <c r="F402" s="45" t="n"/>
      <c r="G402" s="45" t="n"/>
      <c r="H402" s="45" t="n"/>
      <c r="I402" s="45" t="n"/>
      <c r="J402" s="38" t="n"/>
    </row>
    <row r="403">
      <c r="A403" s="16">
        <f>IF($B403="","",COUNTA($B$4:$B403))</f>
        <v/>
      </c>
      <c r="B403" s="72" t="n"/>
      <c r="C403" s="46" t="n"/>
      <c r="D403" s="47" t="n"/>
      <c r="E403" s="47" t="n"/>
      <c r="F403" s="47" t="n"/>
      <c r="G403" s="47" t="n"/>
      <c r="H403" s="47" t="n"/>
      <c r="I403" s="47" t="n"/>
      <c r="J403" s="40" t="n"/>
    </row>
    <row r="404">
      <c r="A404" s="16">
        <f>IF($B404="","",COUNTA($B$4:$B404))</f>
        <v/>
      </c>
      <c r="B404" s="71" t="n"/>
      <c r="C404" s="44" t="n"/>
      <c r="D404" s="45" t="n"/>
      <c r="E404" s="45" t="n"/>
      <c r="F404" s="45" t="n"/>
      <c r="G404" s="45" t="n"/>
      <c r="H404" s="45" t="n"/>
      <c r="I404" s="45" t="n"/>
      <c r="J404" s="38" t="n"/>
    </row>
    <row r="405">
      <c r="A405" s="16">
        <f>IF($B405="","",COUNTA($B$4:$B405))</f>
        <v/>
      </c>
      <c r="B405" s="72" t="n"/>
      <c r="C405" s="46" t="n"/>
      <c r="D405" s="47" t="n"/>
      <c r="E405" s="47" t="n"/>
      <c r="F405" s="47" t="n"/>
      <c r="G405" s="47" t="n"/>
      <c r="H405" s="47" t="n"/>
      <c r="I405" s="47" t="n"/>
      <c r="J405" s="40" t="n"/>
    </row>
    <row r="406">
      <c r="A406" s="16">
        <f>IF($B406="","",COUNTA($B$4:$B406))</f>
        <v/>
      </c>
      <c r="B406" s="71" t="n"/>
      <c r="C406" s="44" t="n"/>
      <c r="D406" s="45" t="n"/>
      <c r="E406" s="45" t="n"/>
      <c r="F406" s="45" t="n"/>
      <c r="G406" s="45" t="n"/>
      <c r="H406" s="45" t="n"/>
      <c r="I406" s="45" t="n"/>
      <c r="J406" s="38" t="n"/>
    </row>
    <row r="407">
      <c r="A407" s="16">
        <f>IF($B407="","",COUNTA($B$4:$B407))</f>
        <v/>
      </c>
      <c r="B407" s="72" t="n"/>
      <c r="C407" s="46" t="n"/>
      <c r="D407" s="47" t="n"/>
      <c r="E407" s="47" t="n"/>
      <c r="F407" s="47" t="n"/>
      <c r="G407" s="47" t="n"/>
      <c r="H407" s="47" t="n"/>
      <c r="I407" s="47" t="n"/>
      <c r="J407" s="40" t="n"/>
    </row>
    <row r="408">
      <c r="A408" s="16">
        <f>IF($B408="","",COUNTA($B$4:$B408))</f>
        <v/>
      </c>
      <c r="B408" s="71" t="n"/>
      <c r="C408" s="44" t="n"/>
      <c r="D408" s="45" t="n"/>
      <c r="E408" s="45" t="n"/>
      <c r="F408" s="45" t="n"/>
      <c r="G408" s="45" t="n"/>
      <c r="H408" s="45" t="n"/>
      <c r="I408" s="45" t="n"/>
      <c r="J408" s="38" t="n"/>
    </row>
    <row r="409">
      <c r="A409" s="16">
        <f>IF($B409="","",COUNTA($B$4:$B409))</f>
        <v/>
      </c>
      <c r="B409" s="72" t="n"/>
      <c r="C409" s="46" t="n"/>
      <c r="D409" s="47" t="n"/>
      <c r="E409" s="47" t="n"/>
      <c r="F409" s="47" t="n"/>
      <c r="G409" s="47" t="n"/>
      <c r="H409" s="47" t="n"/>
      <c r="I409" s="47" t="n"/>
      <c r="J409" s="40" t="n"/>
    </row>
    <row r="410">
      <c r="A410" s="16">
        <f>IF($B410="","",COUNTA($B$4:$B410))</f>
        <v/>
      </c>
      <c r="B410" s="71" t="n"/>
      <c r="C410" s="44" t="n"/>
      <c r="D410" s="45" t="n"/>
      <c r="E410" s="45" t="n"/>
      <c r="F410" s="45" t="n"/>
      <c r="G410" s="45" t="n"/>
      <c r="H410" s="45" t="n"/>
      <c r="I410" s="45" t="n"/>
      <c r="J410" s="38" t="n"/>
    </row>
    <row r="411">
      <c r="A411" s="16">
        <f>IF($B411="","",COUNTA($B$4:$B411))</f>
        <v/>
      </c>
      <c r="B411" s="72" t="n"/>
      <c r="C411" s="46" t="n"/>
      <c r="D411" s="47" t="n"/>
      <c r="E411" s="47" t="n"/>
      <c r="F411" s="47" t="n"/>
      <c r="G411" s="47" t="n"/>
      <c r="H411" s="47" t="n"/>
      <c r="I411" s="47" t="n"/>
      <c r="J411" s="40" t="n"/>
    </row>
    <row r="412">
      <c r="A412" s="16">
        <f>IF($B412="","",COUNTA($B$4:$B412))</f>
        <v/>
      </c>
      <c r="B412" s="71" t="n"/>
      <c r="C412" s="44" t="n"/>
      <c r="D412" s="45" t="n"/>
      <c r="E412" s="45" t="n"/>
      <c r="F412" s="45" t="n"/>
      <c r="G412" s="45" t="n"/>
      <c r="H412" s="45" t="n"/>
      <c r="I412" s="45" t="n"/>
      <c r="J412" s="38" t="n"/>
    </row>
    <row r="413">
      <c r="A413" s="16">
        <f>IF($B413="","",COUNTA($B$4:$B413))</f>
        <v/>
      </c>
      <c r="B413" s="72" t="n"/>
      <c r="C413" s="46" t="n"/>
      <c r="D413" s="47" t="n"/>
      <c r="E413" s="47" t="n"/>
      <c r="F413" s="47" t="n"/>
      <c r="G413" s="47" t="n"/>
      <c r="H413" s="47" t="n"/>
      <c r="I413" s="47" t="n"/>
      <c r="J413" s="40" t="n"/>
    </row>
    <row r="414">
      <c r="A414" s="16">
        <f>IF($B414="","",COUNTA($B$4:$B414))</f>
        <v/>
      </c>
      <c r="B414" s="71" t="n"/>
      <c r="C414" s="44" t="n"/>
      <c r="D414" s="45" t="n"/>
      <c r="E414" s="45" t="n"/>
      <c r="F414" s="45" t="n"/>
      <c r="G414" s="45" t="n"/>
      <c r="H414" s="45" t="n"/>
      <c r="I414" s="45" t="n"/>
      <c r="J414" s="38" t="n"/>
    </row>
    <row r="415">
      <c r="A415" s="16">
        <f>IF($B415="","",COUNTA($B$4:$B415))</f>
        <v/>
      </c>
      <c r="B415" s="72" t="n"/>
      <c r="C415" s="46" t="n"/>
      <c r="D415" s="47" t="n"/>
      <c r="E415" s="47" t="n"/>
      <c r="F415" s="47" t="n"/>
      <c r="G415" s="47" t="n"/>
      <c r="H415" s="47" t="n"/>
      <c r="I415" s="47" t="n"/>
      <c r="J415" s="40" t="n"/>
    </row>
    <row r="416">
      <c r="A416" s="16">
        <f>IF($B416="","",COUNTA($B$4:$B416))</f>
        <v/>
      </c>
      <c r="B416" s="71" t="n"/>
      <c r="C416" s="44" t="n"/>
      <c r="D416" s="45" t="n"/>
      <c r="E416" s="45" t="n"/>
      <c r="F416" s="45" t="n"/>
      <c r="G416" s="45" t="n"/>
      <c r="H416" s="45" t="n"/>
      <c r="I416" s="45" t="n"/>
      <c r="J416" s="38" t="n"/>
    </row>
    <row r="417">
      <c r="A417" s="16">
        <f>IF($B417="","",COUNTA($B$4:$B417))</f>
        <v/>
      </c>
      <c r="B417" s="72" t="n"/>
      <c r="C417" s="46" t="n"/>
      <c r="D417" s="47" t="n"/>
      <c r="E417" s="47" t="n"/>
      <c r="F417" s="47" t="n"/>
      <c r="G417" s="47" t="n"/>
      <c r="H417" s="47" t="n"/>
      <c r="I417" s="47" t="n"/>
      <c r="J417" s="40" t="n"/>
    </row>
    <row r="418">
      <c r="A418" s="16">
        <f>IF($B418="","",COUNTA($B$4:$B418))</f>
        <v/>
      </c>
      <c r="B418" s="71" t="n"/>
      <c r="C418" s="44" t="n"/>
      <c r="D418" s="45" t="n"/>
      <c r="E418" s="45" t="n"/>
      <c r="F418" s="45" t="n"/>
      <c r="G418" s="45" t="n"/>
      <c r="H418" s="45" t="n"/>
      <c r="I418" s="45" t="n"/>
      <c r="J418" s="38" t="n"/>
    </row>
    <row r="419">
      <c r="A419" s="16">
        <f>IF($B419="","",COUNTA($B$4:$B419))</f>
        <v/>
      </c>
      <c r="B419" s="72" t="n"/>
      <c r="C419" s="46" t="n"/>
      <c r="D419" s="47" t="n"/>
      <c r="E419" s="47" t="n"/>
      <c r="F419" s="47" t="n"/>
      <c r="G419" s="47" t="n"/>
      <c r="H419" s="47" t="n"/>
      <c r="I419" s="47" t="n"/>
      <c r="J419" s="40" t="n"/>
    </row>
    <row r="420">
      <c r="A420" s="16">
        <f>IF($B420="","",COUNTA($B$4:$B420))</f>
        <v/>
      </c>
      <c r="B420" s="71" t="n"/>
      <c r="C420" s="44" t="n"/>
      <c r="D420" s="45" t="n"/>
      <c r="E420" s="45" t="n"/>
      <c r="F420" s="45" t="n"/>
      <c r="G420" s="45" t="n"/>
      <c r="H420" s="45" t="n"/>
      <c r="I420" s="45" t="n"/>
      <c r="J420" s="38" t="n"/>
    </row>
    <row r="421">
      <c r="A421" s="16">
        <f>IF($B421="","",COUNTA($B$4:$B421))</f>
        <v/>
      </c>
      <c r="B421" s="72" t="n"/>
      <c r="C421" s="46" t="n"/>
      <c r="D421" s="47" t="n"/>
      <c r="E421" s="47" t="n"/>
      <c r="F421" s="47" t="n"/>
      <c r="G421" s="47" t="n"/>
      <c r="H421" s="47" t="n"/>
      <c r="I421" s="47" t="n"/>
      <c r="J421" s="40" t="n"/>
    </row>
    <row r="422">
      <c r="A422" s="16">
        <f>IF($B422="","",COUNTA($B$4:$B422))</f>
        <v/>
      </c>
      <c r="B422" s="71" t="n"/>
      <c r="C422" s="44" t="n"/>
      <c r="D422" s="45" t="n"/>
      <c r="E422" s="45" t="n"/>
      <c r="F422" s="45" t="n"/>
      <c r="G422" s="45" t="n"/>
      <c r="H422" s="45" t="n"/>
      <c r="I422" s="45" t="n"/>
      <c r="J422" s="38" t="n"/>
    </row>
    <row r="423">
      <c r="A423" s="16">
        <f>IF($B423="","",COUNTA($B$4:$B423))</f>
        <v/>
      </c>
      <c r="B423" s="72" t="n"/>
      <c r="C423" s="46" t="n"/>
      <c r="D423" s="47" t="n"/>
      <c r="E423" s="47" t="n"/>
      <c r="F423" s="47" t="n"/>
      <c r="G423" s="47" t="n"/>
      <c r="H423" s="47" t="n"/>
      <c r="I423" s="47" t="n"/>
      <c r="J423" s="40" t="n"/>
    </row>
    <row r="424">
      <c r="A424" s="16">
        <f>IF($B424="","",COUNTA($B$4:$B424))</f>
        <v/>
      </c>
      <c r="B424" s="71" t="n"/>
      <c r="C424" s="44" t="n"/>
      <c r="D424" s="45" t="n"/>
      <c r="E424" s="45" t="n"/>
      <c r="F424" s="45" t="n"/>
      <c r="G424" s="45" t="n"/>
      <c r="H424" s="45" t="n"/>
      <c r="I424" s="45" t="n"/>
      <c r="J424" s="38" t="n"/>
    </row>
    <row r="425">
      <c r="A425" s="16">
        <f>IF($B425="","",COUNTA($B$4:$B425))</f>
        <v/>
      </c>
      <c r="B425" s="72" t="n"/>
      <c r="C425" s="46" t="n"/>
      <c r="D425" s="47" t="n"/>
      <c r="E425" s="47" t="n"/>
      <c r="F425" s="47" t="n"/>
      <c r="G425" s="47" t="n"/>
      <c r="H425" s="47" t="n"/>
      <c r="I425" s="47" t="n"/>
      <c r="J425" s="40" t="n"/>
    </row>
    <row r="426">
      <c r="A426" s="16">
        <f>IF($B426="","",COUNTA($B$4:$B426))</f>
        <v/>
      </c>
      <c r="B426" s="71" t="n"/>
      <c r="C426" s="44" t="n"/>
      <c r="D426" s="45" t="n"/>
      <c r="E426" s="45" t="n"/>
      <c r="F426" s="45" t="n"/>
      <c r="G426" s="45" t="n"/>
      <c r="H426" s="45" t="n"/>
      <c r="I426" s="45" t="n"/>
      <c r="J426" s="38" t="n"/>
    </row>
    <row r="427">
      <c r="A427" s="16">
        <f>IF($B427="","",COUNTA($B$4:$B427))</f>
        <v/>
      </c>
      <c r="B427" s="72" t="n"/>
      <c r="C427" s="46" t="n"/>
      <c r="D427" s="47" t="n"/>
      <c r="E427" s="47" t="n"/>
      <c r="F427" s="47" t="n"/>
      <c r="G427" s="47" t="n"/>
      <c r="H427" s="47" t="n"/>
      <c r="I427" s="47" t="n"/>
      <c r="J427" s="40" t="n"/>
    </row>
    <row r="428">
      <c r="A428" s="16">
        <f>IF($B428="","",COUNTA($B$4:$B428))</f>
        <v/>
      </c>
      <c r="B428" s="71" t="n"/>
      <c r="C428" s="44" t="n"/>
      <c r="D428" s="45" t="n"/>
      <c r="E428" s="45" t="n"/>
      <c r="F428" s="45" t="n"/>
      <c r="G428" s="45" t="n"/>
      <c r="H428" s="45" t="n"/>
      <c r="I428" s="45" t="n"/>
      <c r="J428" s="38" t="n"/>
    </row>
    <row r="429">
      <c r="A429" s="16">
        <f>IF($B429="","",COUNTA($B$4:$B429))</f>
        <v/>
      </c>
      <c r="B429" s="72" t="n"/>
      <c r="C429" s="46" t="n"/>
      <c r="D429" s="47" t="n"/>
      <c r="E429" s="47" t="n"/>
      <c r="F429" s="47" t="n"/>
      <c r="G429" s="47" t="n"/>
      <c r="H429" s="47" t="n"/>
      <c r="I429" s="47" t="n"/>
      <c r="J429" s="40" t="n"/>
    </row>
    <row r="430">
      <c r="A430" s="16">
        <f>IF($B430="","",COUNTA($B$4:$B430))</f>
        <v/>
      </c>
      <c r="B430" s="71" t="n"/>
      <c r="C430" s="44" t="n"/>
      <c r="D430" s="45" t="n"/>
      <c r="E430" s="45" t="n"/>
      <c r="F430" s="45" t="n"/>
      <c r="G430" s="45" t="n"/>
      <c r="H430" s="45" t="n"/>
      <c r="I430" s="45" t="n"/>
      <c r="J430" s="38" t="n"/>
    </row>
    <row r="431">
      <c r="A431" s="16">
        <f>IF($B431="","",COUNTA($B$4:$B431))</f>
        <v/>
      </c>
      <c r="B431" s="72" t="n"/>
      <c r="C431" s="46" t="n"/>
      <c r="D431" s="47" t="n"/>
      <c r="E431" s="47" t="n"/>
      <c r="F431" s="47" t="n"/>
      <c r="G431" s="47" t="n"/>
      <c r="H431" s="47" t="n"/>
      <c r="I431" s="47" t="n"/>
      <c r="J431" s="40" t="n"/>
    </row>
    <row r="432">
      <c r="A432" s="16">
        <f>IF($B432="","",COUNTA($B$4:$B432))</f>
        <v/>
      </c>
      <c r="B432" s="71" t="n"/>
      <c r="C432" s="44" t="n"/>
      <c r="D432" s="45" t="n"/>
      <c r="E432" s="45" t="n"/>
      <c r="F432" s="45" t="n"/>
      <c r="G432" s="45" t="n"/>
      <c r="H432" s="45" t="n"/>
      <c r="I432" s="45" t="n"/>
      <c r="J432" s="38" t="n"/>
    </row>
    <row r="433">
      <c r="A433" s="16">
        <f>IF($B433="","",COUNTA($B$4:$B433))</f>
        <v/>
      </c>
      <c r="B433" s="72" t="n"/>
      <c r="C433" s="46" t="n"/>
      <c r="D433" s="47" t="n"/>
      <c r="E433" s="47" t="n"/>
      <c r="F433" s="47" t="n"/>
      <c r="G433" s="47" t="n"/>
      <c r="H433" s="47" t="n"/>
      <c r="I433" s="47" t="n"/>
      <c r="J433" s="40" t="n"/>
    </row>
    <row r="434">
      <c r="A434" s="16">
        <f>IF($B434="","",COUNTA($B$4:$B434))</f>
        <v/>
      </c>
      <c r="B434" s="71" t="n"/>
      <c r="C434" s="44" t="n"/>
      <c r="D434" s="45" t="n"/>
      <c r="E434" s="45" t="n"/>
      <c r="F434" s="45" t="n"/>
      <c r="G434" s="45" t="n"/>
      <c r="H434" s="45" t="n"/>
      <c r="I434" s="45" t="n"/>
      <c r="J434" s="38" t="n"/>
    </row>
    <row r="435">
      <c r="A435" s="16">
        <f>IF($B435="","",COUNTA($B$4:$B435))</f>
        <v/>
      </c>
      <c r="B435" s="72" t="n"/>
      <c r="C435" s="46" t="n"/>
      <c r="D435" s="47" t="n"/>
      <c r="E435" s="47" t="n"/>
      <c r="F435" s="47" t="n"/>
      <c r="G435" s="47" t="n"/>
      <c r="H435" s="47" t="n"/>
      <c r="I435" s="47" t="n"/>
      <c r="J435" s="40" t="n"/>
    </row>
    <row r="436">
      <c r="A436" s="16">
        <f>IF($B436="","",COUNTA($B$4:$B436))</f>
        <v/>
      </c>
      <c r="B436" s="71" t="n"/>
      <c r="C436" s="44" t="n"/>
      <c r="D436" s="45" t="n"/>
      <c r="E436" s="45" t="n"/>
      <c r="F436" s="45" t="n"/>
      <c r="G436" s="45" t="n"/>
      <c r="H436" s="45" t="n"/>
      <c r="I436" s="45" t="n"/>
      <c r="J436" s="38" t="n"/>
    </row>
    <row r="437">
      <c r="A437" s="16">
        <f>IF($B437="","",COUNTA($B$4:$B437))</f>
        <v/>
      </c>
      <c r="B437" s="72" t="n"/>
      <c r="C437" s="46" t="n"/>
      <c r="D437" s="47" t="n"/>
      <c r="E437" s="47" t="n"/>
      <c r="F437" s="47" t="n"/>
      <c r="G437" s="47" t="n"/>
      <c r="H437" s="47" t="n"/>
      <c r="I437" s="47" t="n"/>
      <c r="J437" s="40" t="n"/>
    </row>
    <row r="438">
      <c r="A438" s="16">
        <f>IF($B438="","",COUNTA($B$4:$B438))</f>
        <v/>
      </c>
      <c r="B438" s="71" t="n"/>
      <c r="C438" s="44" t="n"/>
      <c r="D438" s="45" t="n"/>
      <c r="E438" s="45" t="n"/>
      <c r="F438" s="45" t="n"/>
      <c r="G438" s="45" t="n"/>
      <c r="H438" s="45" t="n"/>
      <c r="I438" s="45" t="n"/>
      <c r="J438" s="38" t="n"/>
    </row>
    <row r="439">
      <c r="A439" s="16">
        <f>IF($B439="","",COUNTA($B$4:$B439))</f>
        <v/>
      </c>
      <c r="B439" s="72" t="n"/>
      <c r="C439" s="46" t="n"/>
      <c r="D439" s="47" t="n"/>
      <c r="E439" s="47" t="n"/>
      <c r="F439" s="47" t="n"/>
      <c r="G439" s="47" t="n"/>
      <c r="H439" s="47" t="n"/>
      <c r="I439" s="47" t="n"/>
      <c r="J439" s="40" t="n"/>
    </row>
    <row r="440">
      <c r="A440" s="16">
        <f>IF($B440="","",COUNTA($B$4:$B440))</f>
        <v/>
      </c>
      <c r="B440" s="71" t="n"/>
      <c r="C440" s="44" t="n"/>
      <c r="D440" s="45" t="n"/>
      <c r="E440" s="45" t="n"/>
      <c r="F440" s="45" t="n"/>
      <c r="G440" s="45" t="n"/>
      <c r="H440" s="45" t="n"/>
      <c r="I440" s="45" t="n"/>
      <c r="J440" s="38" t="n"/>
    </row>
    <row r="441">
      <c r="A441" s="16">
        <f>IF($B441="","",COUNTA($B$4:$B441))</f>
        <v/>
      </c>
      <c r="B441" s="72" t="n"/>
      <c r="C441" s="46" t="n"/>
      <c r="D441" s="47" t="n"/>
      <c r="E441" s="47" t="n"/>
      <c r="F441" s="47" t="n"/>
      <c r="G441" s="47" t="n"/>
      <c r="H441" s="47" t="n"/>
      <c r="I441" s="47" t="n"/>
      <c r="J441" s="40" t="n"/>
    </row>
    <row r="442">
      <c r="A442" s="16">
        <f>IF($B442="","",COUNTA($B$4:$B442))</f>
        <v/>
      </c>
      <c r="B442" s="71" t="n"/>
      <c r="C442" s="44" t="n"/>
      <c r="D442" s="45" t="n"/>
      <c r="E442" s="45" t="n"/>
      <c r="F442" s="45" t="n"/>
      <c r="G442" s="45" t="n"/>
      <c r="H442" s="45" t="n"/>
      <c r="I442" s="45" t="n"/>
      <c r="J442" s="38" t="n"/>
    </row>
    <row r="443">
      <c r="A443" s="16">
        <f>IF($B443="","",COUNTA($B$4:$B443))</f>
        <v/>
      </c>
      <c r="B443" s="72" t="n"/>
      <c r="C443" s="46" t="n"/>
      <c r="D443" s="47" t="n"/>
      <c r="E443" s="47" t="n"/>
      <c r="F443" s="47" t="n"/>
      <c r="G443" s="47" t="n"/>
      <c r="H443" s="47" t="n"/>
      <c r="I443" s="47" t="n"/>
      <c r="J443" s="40" t="n"/>
    </row>
    <row r="444">
      <c r="A444" s="16">
        <f>IF($B444="","",COUNTA($B$4:$B444))</f>
        <v/>
      </c>
      <c r="B444" s="71" t="n"/>
      <c r="C444" s="44" t="n"/>
      <c r="D444" s="45" t="n"/>
      <c r="E444" s="45" t="n"/>
      <c r="F444" s="45" t="n"/>
      <c r="G444" s="45" t="n"/>
      <c r="H444" s="45" t="n"/>
      <c r="I444" s="45" t="n"/>
      <c r="J444" s="38" t="n"/>
    </row>
    <row r="445">
      <c r="A445" s="16">
        <f>IF($B445="","",COUNTA($B$4:$B445))</f>
        <v/>
      </c>
      <c r="B445" s="72" t="n"/>
      <c r="C445" s="46" t="n"/>
      <c r="D445" s="47" t="n"/>
      <c r="E445" s="47" t="n"/>
      <c r="F445" s="47" t="n"/>
      <c r="G445" s="47" t="n"/>
      <c r="H445" s="47" t="n"/>
      <c r="I445" s="47" t="n"/>
      <c r="J445" s="40" t="n"/>
    </row>
    <row r="446">
      <c r="A446" s="16">
        <f>IF($B446="","",COUNTA($B$4:$B446))</f>
        <v/>
      </c>
      <c r="B446" s="71" t="n"/>
      <c r="C446" s="44" t="n"/>
      <c r="D446" s="45" t="n"/>
      <c r="E446" s="45" t="n"/>
      <c r="F446" s="45" t="n"/>
      <c r="G446" s="45" t="n"/>
      <c r="H446" s="45" t="n"/>
      <c r="I446" s="45" t="n"/>
      <c r="J446" s="38" t="n"/>
    </row>
    <row r="447">
      <c r="A447" s="16">
        <f>IF($B447="","",COUNTA($B$4:$B447))</f>
        <v/>
      </c>
      <c r="B447" s="72" t="n"/>
      <c r="C447" s="46" t="n"/>
      <c r="D447" s="47" t="n"/>
      <c r="E447" s="47" t="n"/>
      <c r="F447" s="47" t="n"/>
      <c r="G447" s="47" t="n"/>
      <c r="H447" s="47" t="n"/>
      <c r="I447" s="47" t="n"/>
      <c r="J447" s="40" t="n"/>
    </row>
    <row r="448">
      <c r="A448" s="16">
        <f>IF($B448="","",COUNTA($B$4:$B448))</f>
        <v/>
      </c>
      <c r="B448" s="71" t="n"/>
      <c r="C448" s="44" t="n"/>
      <c r="D448" s="45" t="n"/>
      <c r="E448" s="45" t="n"/>
      <c r="F448" s="45" t="n"/>
      <c r="G448" s="45" t="n"/>
      <c r="H448" s="45" t="n"/>
      <c r="I448" s="45" t="n"/>
      <c r="J448" s="38" t="n"/>
    </row>
    <row r="449">
      <c r="A449" s="16">
        <f>IF($B449="","",COUNTA($B$4:$B449))</f>
        <v/>
      </c>
      <c r="B449" s="72" t="n"/>
      <c r="C449" s="46" t="n"/>
      <c r="D449" s="47" t="n"/>
      <c r="E449" s="47" t="n"/>
      <c r="F449" s="47" t="n"/>
      <c r="G449" s="47" t="n"/>
      <c r="H449" s="47" t="n"/>
      <c r="I449" s="47" t="n"/>
      <c r="J449" s="40" t="n"/>
    </row>
    <row r="450">
      <c r="A450" s="16">
        <f>IF($B450="","",COUNTA($B$4:$B450))</f>
        <v/>
      </c>
      <c r="B450" s="71" t="n"/>
      <c r="C450" s="44" t="n"/>
      <c r="D450" s="45" t="n"/>
      <c r="E450" s="45" t="n"/>
      <c r="F450" s="45" t="n"/>
      <c r="G450" s="45" t="n"/>
      <c r="H450" s="45" t="n"/>
      <c r="I450" s="45" t="n"/>
      <c r="J450" s="38" t="n"/>
    </row>
    <row r="451">
      <c r="A451" s="16">
        <f>IF($B451="","",COUNTA($B$4:$B451))</f>
        <v/>
      </c>
      <c r="B451" s="72" t="n"/>
      <c r="C451" s="46" t="n"/>
      <c r="D451" s="47" t="n"/>
      <c r="E451" s="47" t="n"/>
      <c r="F451" s="47" t="n"/>
      <c r="G451" s="47" t="n"/>
      <c r="H451" s="47" t="n"/>
      <c r="I451" s="47" t="n"/>
      <c r="J451" s="40" t="n"/>
    </row>
    <row r="452">
      <c r="A452" s="16">
        <f>IF($B452="","",COUNTA($B$4:$B452))</f>
        <v/>
      </c>
      <c r="B452" s="71" t="n"/>
      <c r="C452" s="44" t="n"/>
      <c r="D452" s="45" t="n"/>
      <c r="E452" s="45" t="n"/>
      <c r="F452" s="45" t="n"/>
      <c r="G452" s="45" t="n"/>
      <c r="H452" s="45" t="n"/>
      <c r="I452" s="45" t="n"/>
      <c r="J452" s="38" t="n"/>
    </row>
    <row r="453">
      <c r="A453" s="16">
        <f>IF($B453="","",COUNTA($B$4:$B453))</f>
        <v/>
      </c>
      <c r="B453" s="72" t="n"/>
      <c r="C453" s="46" t="n"/>
      <c r="D453" s="47" t="n"/>
      <c r="E453" s="47" t="n"/>
      <c r="F453" s="47" t="n"/>
      <c r="G453" s="47" t="n"/>
      <c r="H453" s="47" t="n"/>
      <c r="I453" s="47" t="n"/>
      <c r="J453" s="40" t="n"/>
    </row>
    <row r="454">
      <c r="A454" s="16">
        <f>IF($B454="","",COUNTA($B$4:$B454))</f>
        <v/>
      </c>
      <c r="B454" s="71" t="n"/>
      <c r="C454" s="44" t="n"/>
      <c r="D454" s="45" t="n"/>
      <c r="E454" s="45" t="n"/>
      <c r="F454" s="45" t="n"/>
      <c r="G454" s="45" t="n"/>
      <c r="H454" s="45" t="n"/>
      <c r="I454" s="45" t="n"/>
      <c r="J454" s="38" t="n"/>
    </row>
    <row r="455">
      <c r="A455" s="16">
        <f>IF($B455="","",COUNTA($B$4:$B455))</f>
        <v/>
      </c>
      <c r="B455" s="72" t="n"/>
      <c r="C455" s="46" t="n"/>
      <c r="D455" s="47" t="n"/>
      <c r="E455" s="47" t="n"/>
      <c r="F455" s="47" t="n"/>
      <c r="G455" s="47" t="n"/>
      <c r="H455" s="47" t="n"/>
      <c r="I455" s="47" t="n"/>
      <c r="J455" s="40" t="n"/>
    </row>
    <row r="456">
      <c r="A456" s="16">
        <f>IF($B456="","",COUNTA($B$4:$B456))</f>
        <v/>
      </c>
      <c r="B456" s="71" t="n"/>
      <c r="C456" s="44" t="n"/>
      <c r="D456" s="45" t="n"/>
      <c r="E456" s="45" t="n"/>
      <c r="F456" s="45" t="n"/>
      <c r="G456" s="45" t="n"/>
      <c r="H456" s="45" t="n"/>
      <c r="I456" s="45" t="n"/>
      <c r="J456" s="38" t="n"/>
    </row>
    <row r="457">
      <c r="A457" s="16">
        <f>IF($B457="","",COUNTA($B$4:$B457))</f>
        <v/>
      </c>
      <c r="B457" s="72" t="n"/>
      <c r="C457" s="46" t="n"/>
      <c r="D457" s="47" t="n"/>
      <c r="E457" s="47" t="n"/>
      <c r="F457" s="47" t="n"/>
      <c r="G457" s="47" t="n"/>
      <c r="H457" s="47" t="n"/>
      <c r="I457" s="47" t="n"/>
      <c r="J457" s="40" t="n"/>
    </row>
    <row r="458">
      <c r="A458" s="16">
        <f>IF($B458="","",COUNTA($B$4:$B458))</f>
        <v/>
      </c>
      <c r="B458" s="71" t="n"/>
      <c r="C458" s="44" t="n"/>
      <c r="D458" s="45" t="n"/>
      <c r="E458" s="45" t="n"/>
      <c r="F458" s="45" t="n"/>
      <c r="G458" s="45" t="n"/>
      <c r="H458" s="45" t="n"/>
      <c r="I458" s="45" t="n"/>
      <c r="J458" s="38" t="n"/>
    </row>
    <row r="459">
      <c r="A459" s="16">
        <f>IF($B459="","",COUNTA($B$4:$B459))</f>
        <v/>
      </c>
      <c r="B459" s="72" t="n"/>
      <c r="C459" s="46" t="n"/>
      <c r="D459" s="47" t="n"/>
      <c r="E459" s="47" t="n"/>
      <c r="F459" s="47" t="n"/>
      <c r="G459" s="47" t="n"/>
      <c r="H459" s="47" t="n"/>
      <c r="I459" s="47" t="n"/>
      <c r="J459" s="40" t="n"/>
    </row>
    <row r="460">
      <c r="A460" s="16">
        <f>IF($B460="","",COUNTA($B$4:$B460))</f>
        <v/>
      </c>
      <c r="B460" s="71" t="n"/>
      <c r="C460" s="44" t="n"/>
      <c r="D460" s="45" t="n"/>
      <c r="E460" s="45" t="n"/>
      <c r="F460" s="45" t="n"/>
      <c r="G460" s="45" t="n"/>
      <c r="H460" s="45" t="n"/>
      <c r="I460" s="45" t="n"/>
      <c r="J460" s="38" t="n"/>
    </row>
    <row r="461">
      <c r="A461" s="16">
        <f>IF($B461="","",COUNTA($B$4:$B461))</f>
        <v/>
      </c>
      <c r="B461" s="72" t="n"/>
      <c r="C461" s="46" t="n"/>
      <c r="D461" s="47" t="n"/>
      <c r="E461" s="47" t="n"/>
      <c r="F461" s="47" t="n"/>
      <c r="G461" s="47" t="n"/>
      <c r="H461" s="47" t="n"/>
      <c r="I461" s="47" t="n"/>
      <c r="J461" s="40" t="n"/>
    </row>
    <row r="462">
      <c r="A462" s="16">
        <f>IF($B462="","",COUNTA($B$4:$B462))</f>
        <v/>
      </c>
      <c r="B462" s="71" t="n"/>
      <c r="C462" s="44" t="n"/>
      <c r="D462" s="45" t="n"/>
      <c r="E462" s="45" t="n"/>
      <c r="F462" s="45" t="n"/>
      <c r="G462" s="45" t="n"/>
      <c r="H462" s="45" t="n"/>
      <c r="I462" s="45" t="n"/>
      <c r="J462" s="38" t="n"/>
    </row>
    <row r="463">
      <c r="A463" s="16">
        <f>IF($B463="","",COUNTA($B$4:$B463))</f>
        <v/>
      </c>
      <c r="B463" s="72" t="n"/>
      <c r="C463" s="46" t="n"/>
      <c r="D463" s="47" t="n"/>
      <c r="E463" s="47" t="n"/>
      <c r="F463" s="47" t="n"/>
      <c r="G463" s="47" t="n"/>
      <c r="H463" s="47" t="n"/>
      <c r="I463" s="47" t="n"/>
      <c r="J463" s="40" t="n"/>
    </row>
    <row r="464">
      <c r="A464" s="16">
        <f>IF($B464="","",COUNTA($B$4:$B464))</f>
        <v/>
      </c>
      <c r="B464" s="71" t="n"/>
      <c r="C464" s="44" t="n"/>
      <c r="D464" s="45" t="n"/>
      <c r="E464" s="45" t="n"/>
      <c r="F464" s="45" t="n"/>
      <c r="G464" s="45" t="n"/>
      <c r="H464" s="45" t="n"/>
      <c r="I464" s="45" t="n"/>
      <c r="J464" s="38" t="n"/>
    </row>
    <row r="465">
      <c r="A465" s="16">
        <f>IF($B465="","",COUNTA($B$4:$B465))</f>
        <v/>
      </c>
      <c r="B465" s="72" t="n"/>
      <c r="C465" s="46" t="n"/>
      <c r="D465" s="47" t="n"/>
      <c r="E465" s="47" t="n"/>
      <c r="F465" s="47" t="n"/>
      <c r="G465" s="47" t="n"/>
      <c r="H465" s="47" t="n"/>
      <c r="I465" s="47" t="n"/>
      <c r="J465" s="40" t="n"/>
    </row>
    <row r="466">
      <c r="A466" s="16">
        <f>IF($B466="","",COUNTA($B$4:$B466))</f>
        <v/>
      </c>
      <c r="B466" s="71" t="n"/>
      <c r="C466" s="44" t="n"/>
      <c r="D466" s="45" t="n"/>
      <c r="E466" s="45" t="n"/>
      <c r="F466" s="45" t="n"/>
      <c r="G466" s="45" t="n"/>
      <c r="H466" s="45" t="n"/>
      <c r="I466" s="45" t="n"/>
      <c r="J466" s="38" t="n"/>
    </row>
    <row r="467">
      <c r="A467" s="16">
        <f>IF($B467="","",COUNTA($B$4:$B467))</f>
        <v/>
      </c>
      <c r="B467" s="72" t="n"/>
      <c r="C467" s="46" t="n"/>
      <c r="D467" s="47" t="n"/>
      <c r="E467" s="47" t="n"/>
      <c r="F467" s="47" t="n"/>
      <c r="G467" s="47" t="n"/>
      <c r="H467" s="47" t="n"/>
      <c r="I467" s="47" t="n"/>
      <c r="J467" s="40" t="n"/>
    </row>
    <row r="468">
      <c r="A468" s="16">
        <f>IF($B468="","",COUNTA($B$4:$B468))</f>
        <v/>
      </c>
      <c r="B468" s="71" t="n"/>
      <c r="C468" s="44" t="n"/>
      <c r="D468" s="45" t="n"/>
      <c r="E468" s="45" t="n"/>
      <c r="F468" s="45" t="n"/>
      <c r="G468" s="45" t="n"/>
      <c r="H468" s="45" t="n"/>
      <c r="I468" s="45" t="n"/>
      <c r="J468" s="38" t="n"/>
    </row>
    <row r="469">
      <c r="A469" s="16">
        <f>IF($B469="","",COUNTA($B$4:$B469))</f>
        <v/>
      </c>
      <c r="B469" s="72" t="n"/>
      <c r="C469" s="46" t="n"/>
      <c r="D469" s="47" t="n"/>
      <c r="E469" s="47" t="n"/>
      <c r="F469" s="47" t="n"/>
      <c r="G469" s="47" t="n"/>
      <c r="H469" s="47" t="n"/>
      <c r="I469" s="47" t="n"/>
      <c r="J469" s="40" t="n"/>
    </row>
    <row r="470">
      <c r="A470" s="16">
        <f>IF($B470="","",COUNTA($B$4:$B470))</f>
        <v/>
      </c>
      <c r="B470" s="71" t="n"/>
      <c r="C470" s="44" t="n"/>
      <c r="D470" s="45" t="n"/>
      <c r="E470" s="45" t="n"/>
      <c r="F470" s="45" t="n"/>
      <c r="G470" s="45" t="n"/>
      <c r="H470" s="45" t="n"/>
      <c r="I470" s="45" t="n"/>
      <c r="J470" s="38" t="n"/>
    </row>
    <row r="471">
      <c r="A471" s="16">
        <f>IF($B471="","",COUNTA($B$4:$B471))</f>
        <v/>
      </c>
      <c r="B471" s="72" t="n"/>
      <c r="C471" s="46" t="n"/>
      <c r="D471" s="47" t="n"/>
      <c r="E471" s="47" t="n"/>
      <c r="F471" s="47" t="n"/>
      <c r="G471" s="47" t="n"/>
      <c r="H471" s="47" t="n"/>
      <c r="I471" s="47" t="n"/>
      <c r="J471" s="40" t="n"/>
    </row>
    <row r="472">
      <c r="A472" s="16">
        <f>IF($B472="","",COUNTA($B$4:$B472))</f>
        <v/>
      </c>
      <c r="B472" s="71" t="n"/>
      <c r="C472" s="44" t="n"/>
      <c r="D472" s="45" t="n"/>
      <c r="E472" s="45" t="n"/>
      <c r="F472" s="45" t="n"/>
      <c r="G472" s="45" t="n"/>
      <c r="H472" s="45" t="n"/>
      <c r="I472" s="45" t="n"/>
      <c r="J472" s="38" t="n"/>
    </row>
    <row r="473">
      <c r="A473" s="16">
        <f>IF($B473="","",COUNTA($B$4:$B473))</f>
        <v/>
      </c>
      <c r="B473" s="72" t="n"/>
      <c r="C473" s="46" t="n"/>
      <c r="D473" s="47" t="n"/>
      <c r="E473" s="47" t="n"/>
      <c r="F473" s="47" t="n"/>
      <c r="G473" s="47" t="n"/>
      <c r="H473" s="47" t="n"/>
      <c r="I473" s="47" t="n"/>
      <c r="J473" s="40" t="n"/>
    </row>
    <row r="474">
      <c r="A474" s="16">
        <f>IF($B474="","",COUNTA($B$4:$B474))</f>
        <v/>
      </c>
      <c r="B474" s="71" t="n"/>
      <c r="C474" s="44" t="n"/>
      <c r="D474" s="45" t="n"/>
      <c r="E474" s="45" t="n"/>
      <c r="F474" s="45" t="n"/>
      <c r="G474" s="45" t="n"/>
      <c r="H474" s="45" t="n"/>
      <c r="I474" s="45" t="n"/>
      <c r="J474" s="38" t="n"/>
    </row>
    <row r="475">
      <c r="A475" s="16">
        <f>IF($B475="","",COUNTA($B$4:$B475))</f>
        <v/>
      </c>
      <c r="B475" s="72" t="n"/>
      <c r="C475" s="46" t="n"/>
      <c r="D475" s="47" t="n"/>
      <c r="E475" s="47" t="n"/>
      <c r="F475" s="47" t="n"/>
      <c r="G475" s="47" t="n"/>
      <c r="H475" s="47" t="n"/>
      <c r="I475" s="47" t="n"/>
      <c r="J475" s="40" t="n"/>
    </row>
    <row r="476">
      <c r="A476" s="16">
        <f>IF($B476="","",COUNTA($B$4:$B476))</f>
        <v/>
      </c>
      <c r="B476" s="71" t="n"/>
      <c r="C476" s="44" t="n"/>
      <c r="D476" s="45" t="n"/>
      <c r="E476" s="45" t="n"/>
      <c r="F476" s="45" t="n"/>
      <c r="G476" s="45" t="n"/>
      <c r="H476" s="45" t="n"/>
      <c r="I476" s="45" t="n"/>
      <c r="J476" s="38" t="n"/>
    </row>
    <row r="477">
      <c r="A477" s="16">
        <f>IF($B477="","",COUNTA($B$4:$B477))</f>
        <v/>
      </c>
      <c r="B477" s="72" t="n"/>
      <c r="C477" s="46" t="n"/>
      <c r="D477" s="47" t="n"/>
      <c r="E477" s="47" t="n"/>
      <c r="F477" s="47" t="n"/>
      <c r="G477" s="47" t="n"/>
      <c r="H477" s="47" t="n"/>
      <c r="I477" s="47" t="n"/>
      <c r="J477" s="40" t="n"/>
    </row>
    <row r="478">
      <c r="A478" s="16">
        <f>IF($B478="","",COUNTA($B$4:$B478))</f>
        <v/>
      </c>
      <c r="B478" s="71" t="n"/>
      <c r="C478" s="44" t="n"/>
      <c r="D478" s="45" t="n"/>
      <c r="E478" s="45" t="n"/>
      <c r="F478" s="45" t="n"/>
      <c r="G478" s="45" t="n"/>
      <c r="H478" s="45" t="n"/>
      <c r="I478" s="45" t="n"/>
      <c r="J478" s="38" t="n"/>
    </row>
    <row r="479">
      <c r="A479" s="16">
        <f>IF($B479="","",COUNTA($B$4:$B479))</f>
        <v/>
      </c>
      <c r="B479" s="72" t="n"/>
      <c r="C479" s="46" t="n"/>
      <c r="D479" s="47" t="n"/>
      <c r="E479" s="47" t="n"/>
      <c r="F479" s="47" t="n"/>
      <c r="G479" s="47" t="n"/>
      <c r="H479" s="47" t="n"/>
      <c r="I479" s="47" t="n"/>
      <c r="J479" s="40" t="n"/>
    </row>
    <row r="480">
      <c r="A480" s="16">
        <f>IF($B480="","",COUNTA($B$4:$B480))</f>
        <v/>
      </c>
      <c r="B480" s="71" t="n"/>
      <c r="C480" s="44" t="n"/>
      <c r="D480" s="45" t="n"/>
      <c r="E480" s="45" t="n"/>
      <c r="F480" s="45" t="n"/>
      <c r="G480" s="45" t="n"/>
      <c r="H480" s="45" t="n"/>
      <c r="I480" s="45" t="n"/>
      <c r="J480" s="38" t="n"/>
    </row>
    <row r="481">
      <c r="A481" s="16">
        <f>IF($B481="","",COUNTA($B$4:$B481))</f>
        <v/>
      </c>
      <c r="B481" s="72" t="n"/>
      <c r="C481" s="46" t="n"/>
      <c r="D481" s="47" t="n"/>
      <c r="E481" s="47" t="n"/>
      <c r="F481" s="47" t="n"/>
      <c r="G481" s="47" t="n"/>
      <c r="H481" s="47" t="n"/>
      <c r="I481" s="47" t="n"/>
      <c r="J481" s="40" t="n"/>
    </row>
    <row r="482">
      <c r="A482" s="16">
        <f>IF($B482="","",COUNTA($B$4:$B482))</f>
        <v/>
      </c>
      <c r="B482" s="71" t="n"/>
      <c r="C482" s="44" t="n"/>
      <c r="D482" s="45" t="n"/>
      <c r="E482" s="45" t="n"/>
      <c r="F482" s="45" t="n"/>
      <c r="G482" s="45" t="n"/>
      <c r="H482" s="45" t="n"/>
      <c r="I482" s="45" t="n"/>
      <c r="J482" s="38" t="n"/>
    </row>
    <row r="483">
      <c r="A483" s="16">
        <f>IF($B483="","",COUNTA($B$4:$B483))</f>
        <v/>
      </c>
      <c r="B483" s="72" t="n"/>
      <c r="C483" s="46" t="n"/>
      <c r="D483" s="47" t="n"/>
      <c r="E483" s="47" t="n"/>
      <c r="F483" s="47" t="n"/>
      <c r="G483" s="47" t="n"/>
      <c r="H483" s="47" t="n"/>
      <c r="I483" s="47" t="n"/>
      <c r="J483" s="40" t="n"/>
    </row>
    <row r="484">
      <c r="A484" s="16">
        <f>IF($B484="","",COUNTA($B$4:$B484))</f>
        <v/>
      </c>
      <c r="B484" s="71" t="n"/>
      <c r="C484" s="44" t="n"/>
      <c r="D484" s="45" t="n"/>
      <c r="E484" s="45" t="n"/>
      <c r="F484" s="45" t="n"/>
      <c r="G484" s="45" t="n"/>
      <c r="H484" s="45" t="n"/>
      <c r="I484" s="45" t="n"/>
      <c r="J484" s="38" t="n"/>
    </row>
    <row r="485">
      <c r="A485" s="16">
        <f>IF($B485="","",COUNTA($B$4:$B485))</f>
        <v/>
      </c>
      <c r="B485" s="72" t="n"/>
      <c r="C485" s="46" t="n"/>
      <c r="D485" s="47" t="n"/>
      <c r="E485" s="47" t="n"/>
      <c r="F485" s="47" t="n"/>
      <c r="G485" s="47" t="n"/>
      <c r="H485" s="47" t="n"/>
      <c r="I485" s="47" t="n"/>
      <c r="J485" s="40" t="n"/>
    </row>
    <row r="486">
      <c r="A486" s="16">
        <f>IF($B486="","",COUNTA($B$4:$B486))</f>
        <v/>
      </c>
      <c r="B486" s="71" t="n"/>
      <c r="C486" s="44" t="n"/>
      <c r="D486" s="45" t="n"/>
      <c r="E486" s="45" t="n"/>
      <c r="F486" s="45" t="n"/>
      <c r="G486" s="45" t="n"/>
      <c r="H486" s="45" t="n"/>
      <c r="I486" s="45" t="n"/>
      <c r="J486" s="38" t="n"/>
    </row>
    <row r="487">
      <c r="A487" s="16">
        <f>IF($B487="","",COUNTA($B$4:$B487))</f>
        <v/>
      </c>
      <c r="B487" s="72" t="n"/>
      <c r="C487" s="46" t="n"/>
      <c r="D487" s="47" t="n"/>
      <c r="E487" s="47" t="n"/>
      <c r="F487" s="47" t="n"/>
      <c r="G487" s="47" t="n"/>
      <c r="H487" s="47" t="n"/>
      <c r="I487" s="47" t="n"/>
      <c r="J487" s="40" t="n"/>
    </row>
    <row r="488">
      <c r="A488" s="16">
        <f>IF($B488="","",COUNTA($B$4:$B488))</f>
        <v/>
      </c>
      <c r="B488" s="71" t="n"/>
      <c r="C488" s="44" t="n"/>
      <c r="D488" s="45" t="n"/>
      <c r="E488" s="45" t="n"/>
      <c r="F488" s="45" t="n"/>
      <c r="G488" s="45" t="n"/>
      <c r="H488" s="45" t="n"/>
      <c r="I488" s="45" t="n"/>
      <c r="J488" s="38" t="n"/>
    </row>
    <row r="489">
      <c r="A489" s="16">
        <f>IF($B489="","",COUNTA($B$4:$B489))</f>
        <v/>
      </c>
      <c r="B489" s="72" t="n"/>
      <c r="C489" s="46" t="n"/>
      <c r="D489" s="47" t="n"/>
      <c r="E489" s="47" t="n"/>
      <c r="F489" s="47" t="n"/>
      <c r="G489" s="47" t="n"/>
      <c r="H489" s="47" t="n"/>
      <c r="I489" s="47" t="n"/>
      <c r="J489" s="40" t="n"/>
    </row>
    <row r="490">
      <c r="A490" s="16">
        <f>IF($B490="","",COUNTA($B$4:$B490))</f>
        <v/>
      </c>
      <c r="B490" s="71" t="n"/>
      <c r="C490" s="44" t="n"/>
      <c r="D490" s="45" t="n"/>
      <c r="E490" s="45" t="n"/>
      <c r="F490" s="45" t="n"/>
      <c r="G490" s="45" t="n"/>
      <c r="H490" s="45" t="n"/>
      <c r="I490" s="45" t="n"/>
      <c r="J490" s="38" t="n"/>
    </row>
    <row r="491">
      <c r="A491" s="16">
        <f>IF($B491="","",COUNTA($B$4:$B491))</f>
        <v/>
      </c>
      <c r="B491" s="72" t="n"/>
      <c r="C491" s="46" t="n"/>
      <c r="D491" s="47" t="n"/>
      <c r="E491" s="47" t="n"/>
      <c r="F491" s="47" t="n"/>
      <c r="G491" s="47" t="n"/>
      <c r="H491" s="47" t="n"/>
      <c r="I491" s="47" t="n"/>
      <c r="J491" s="40" t="n"/>
    </row>
    <row r="492">
      <c r="A492" s="16">
        <f>IF($B492="","",COUNTA($B$4:$B492))</f>
        <v/>
      </c>
      <c r="B492" s="71" t="n"/>
      <c r="C492" s="44" t="n"/>
      <c r="D492" s="45" t="n"/>
      <c r="E492" s="45" t="n"/>
      <c r="F492" s="45" t="n"/>
      <c r="G492" s="45" t="n"/>
      <c r="H492" s="45" t="n"/>
      <c r="I492" s="45" t="n"/>
      <c r="J492" s="38" t="n"/>
    </row>
    <row r="493">
      <c r="A493" s="16">
        <f>IF($B493="","",COUNTA($B$4:$B493))</f>
        <v/>
      </c>
      <c r="B493" s="72" t="n"/>
      <c r="C493" s="46" t="n"/>
      <c r="D493" s="47" t="n"/>
      <c r="E493" s="47" t="n"/>
      <c r="F493" s="47" t="n"/>
      <c r="G493" s="47" t="n"/>
      <c r="H493" s="47" t="n"/>
      <c r="I493" s="47" t="n"/>
      <c r="J493" s="40" t="n"/>
    </row>
    <row r="494">
      <c r="A494" s="16">
        <f>IF($B494="","",COUNTA($B$4:$B494))</f>
        <v/>
      </c>
      <c r="B494" s="71" t="n"/>
      <c r="C494" s="44" t="n"/>
      <c r="D494" s="45" t="n"/>
      <c r="E494" s="45" t="n"/>
      <c r="F494" s="45" t="n"/>
      <c r="G494" s="45" t="n"/>
      <c r="H494" s="45" t="n"/>
      <c r="I494" s="45" t="n"/>
      <c r="J494" s="38" t="n"/>
    </row>
    <row r="495">
      <c r="A495" s="16">
        <f>IF($B495="","",COUNTA($B$4:$B495))</f>
        <v/>
      </c>
      <c r="B495" s="72" t="n"/>
      <c r="C495" s="46" t="n"/>
      <c r="D495" s="47" t="n"/>
      <c r="E495" s="47" t="n"/>
      <c r="F495" s="47" t="n"/>
      <c r="G495" s="47" t="n"/>
      <c r="H495" s="47" t="n"/>
      <c r="I495" s="47" t="n"/>
      <c r="J495" s="40" t="n"/>
    </row>
    <row r="496">
      <c r="A496" s="16">
        <f>IF($B496="","",COUNTA($B$4:$B496))</f>
        <v/>
      </c>
      <c r="B496" s="71" t="n"/>
      <c r="C496" s="44" t="n"/>
      <c r="D496" s="45" t="n"/>
      <c r="E496" s="45" t="n"/>
      <c r="F496" s="45" t="n"/>
      <c r="G496" s="45" t="n"/>
      <c r="H496" s="45" t="n"/>
      <c r="I496" s="45" t="n"/>
      <c r="J496" s="38" t="n"/>
    </row>
    <row r="497">
      <c r="A497" s="16">
        <f>IF($B497="","",COUNTA($B$4:$B497))</f>
        <v/>
      </c>
      <c r="B497" s="72" t="n"/>
      <c r="C497" s="46" t="n"/>
      <c r="D497" s="47" t="n"/>
      <c r="E497" s="47" t="n"/>
      <c r="F497" s="47" t="n"/>
      <c r="G497" s="47" t="n"/>
      <c r="H497" s="47" t="n"/>
      <c r="I497" s="47" t="n"/>
      <c r="J497" s="40" t="n"/>
    </row>
    <row r="498">
      <c r="A498" s="16">
        <f>IF($B498="","",COUNTA($B$4:$B498))</f>
        <v/>
      </c>
      <c r="B498" s="71" t="n"/>
      <c r="C498" s="44" t="n"/>
      <c r="D498" s="45" t="n"/>
      <c r="E498" s="45" t="n"/>
      <c r="F498" s="45" t="n"/>
      <c r="G498" s="45" t="n"/>
      <c r="H498" s="45" t="n"/>
      <c r="I498" s="45" t="n"/>
      <c r="J498" s="38" t="n"/>
    </row>
    <row r="499">
      <c r="A499" s="16">
        <f>IF($B499="","",COUNTA($B$4:$B499))</f>
        <v/>
      </c>
      <c r="B499" s="72" t="n"/>
      <c r="C499" s="46" t="n"/>
      <c r="D499" s="47" t="n"/>
      <c r="E499" s="47" t="n"/>
      <c r="F499" s="47" t="n"/>
      <c r="G499" s="47" t="n"/>
      <c r="H499" s="47" t="n"/>
      <c r="I499" s="47" t="n"/>
      <c r="J499" s="40" t="n"/>
    </row>
    <row r="500">
      <c r="A500" s="16">
        <f>IF($B500="","",COUNTA($B$4:$B500))</f>
        <v/>
      </c>
      <c r="B500" s="71" t="n"/>
      <c r="C500" s="44" t="n"/>
      <c r="D500" s="45" t="n"/>
      <c r="E500" s="45" t="n"/>
      <c r="F500" s="45" t="n"/>
      <c r="G500" s="45" t="n"/>
      <c r="H500" s="45" t="n"/>
      <c r="I500" s="45" t="n"/>
      <c r="J500" s="38" t="n"/>
    </row>
    <row r="501">
      <c r="A501" s="16">
        <f>IF($B501="","",COUNTA($B$4:$B501))</f>
        <v/>
      </c>
      <c r="B501" s="72" t="n"/>
      <c r="C501" s="46" t="n"/>
      <c r="D501" s="47" t="n"/>
      <c r="E501" s="47" t="n"/>
      <c r="F501" s="47" t="n"/>
      <c r="G501" s="47" t="n"/>
      <c r="H501" s="47" t="n"/>
      <c r="I501" s="47" t="n"/>
      <c r="J501" s="40" t="n"/>
    </row>
    <row r="502">
      <c r="A502" s="16">
        <f>IF($B502="","",COUNTA($B$4:$B502))</f>
        <v/>
      </c>
      <c r="B502" s="71" t="n"/>
      <c r="C502" s="44" t="n"/>
      <c r="D502" s="45" t="n"/>
      <c r="E502" s="45" t="n"/>
      <c r="F502" s="45" t="n"/>
      <c r="G502" s="45" t="n"/>
      <c r="H502" s="45" t="n"/>
      <c r="I502" s="45" t="n"/>
      <c r="J502" s="38" t="n"/>
    </row>
    <row r="503">
      <c r="A503" s="16">
        <f>IF($B503="","",COUNTA($B$4:$B503))</f>
        <v/>
      </c>
      <c r="B503" s="72" t="n"/>
      <c r="C503" s="46" t="n"/>
      <c r="D503" s="47" t="n"/>
      <c r="E503" s="47" t="n"/>
      <c r="F503" s="47" t="n"/>
      <c r="G503" s="47" t="n"/>
      <c r="H503" s="47" t="n"/>
      <c r="I503" s="47" t="n"/>
      <c r="J503" s="40" t="n"/>
    </row>
    <row r="504">
      <c r="A504" s="16">
        <f>IF($B504="","",COUNTA($B$4:$B504))</f>
        <v/>
      </c>
      <c r="B504" s="71" t="n"/>
      <c r="C504" s="44" t="n"/>
      <c r="D504" s="45" t="n"/>
      <c r="E504" s="45" t="n"/>
      <c r="F504" s="45" t="n"/>
      <c r="G504" s="45" t="n"/>
      <c r="H504" s="45" t="n"/>
      <c r="I504" s="45" t="n"/>
      <c r="J504" s="38" t="n"/>
    </row>
    <row r="505">
      <c r="A505" s="16">
        <f>IF($B505="","",COUNTA($B$4:$B505))</f>
        <v/>
      </c>
      <c r="B505" s="72" t="n"/>
      <c r="C505" s="46" t="n"/>
      <c r="D505" s="47" t="n"/>
      <c r="E505" s="47" t="n"/>
      <c r="F505" s="47" t="n"/>
      <c r="G505" s="47" t="n"/>
      <c r="H505" s="47" t="n"/>
      <c r="I505" s="47" t="n"/>
      <c r="J505" s="40" t="n"/>
    </row>
    <row r="506">
      <c r="A506" s="16">
        <f>IF($B506="","",COUNTA($B$4:$B506))</f>
        <v/>
      </c>
      <c r="B506" s="71" t="n"/>
      <c r="C506" s="44" t="n"/>
      <c r="D506" s="45" t="n"/>
      <c r="E506" s="45" t="n"/>
      <c r="F506" s="45" t="n"/>
      <c r="G506" s="45" t="n"/>
      <c r="H506" s="45" t="n"/>
      <c r="I506" s="45" t="n"/>
      <c r="J506" s="38" t="n"/>
    </row>
    <row r="507">
      <c r="A507" s="16">
        <f>IF($B507="","",COUNTA($B$4:$B507))</f>
        <v/>
      </c>
      <c r="B507" s="72" t="n"/>
      <c r="C507" s="46" t="n"/>
      <c r="D507" s="47" t="n"/>
      <c r="E507" s="47" t="n"/>
      <c r="F507" s="47" t="n"/>
      <c r="G507" s="47" t="n"/>
      <c r="H507" s="47" t="n"/>
      <c r="I507" s="47" t="n"/>
      <c r="J507" s="40" t="n"/>
    </row>
    <row r="508">
      <c r="A508" s="16">
        <f>IF($B508="","",COUNTA($B$4:$B508))</f>
        <v/>
      </c>
      <c r="B508" s="71" t="n"/>
      <c r="C508" s="44" t="n"/>
      <c r="D508" s="45" t="n"/>
      <c r="E508" s="45" t="n"/>
      <c r="F508" s="45" t="n"/>
      <c r="G508" s="45" t="n"/>
      <c r="H508" s="45" t="n"/>
      <c r="I508" s="45" t="n"/>
      <c r="J508" s="38" t="n"/>
    </row>
    <row r="509">
      <c r="A509" s="16">
        <f>IF($B509="","",COUNTA($B$4:$B509))</f>
        <v/>
      </c>
      <c r="B509" s="72" t="n"/>
      <c r="C509" s="46" t="n"/>
      <c r="D509" s="47" t="n"/>
      <c r="E509" s="47" t="n"/>
      <c r="F509" s="47" t="n"/>
      <c r="G509" s="47" t="n"/>
      <c r="H509" s="47" t="n"/>
      <c r="I509" s="47" t="n"/>
      <c r="J509" s="40" t="n"/>
    </row>
    <row r="510">
      <c r="A510" s="16">
        <f>IF($B510="","",COUNTA($B$4:$B510))</f>
        <v/>
      </c>
      <c r="B510" s="71" t="n"/>
      <c r="C510" s="44" t="n"/>
      <c r="D510" s="45" t="n"/>
      <c r="E510" s="45" t="n"/>
      <c r="F510" s="45" t="n"/>
      <c r="G510" s="45" t="n"/>
      <c r="H510" s="45" t="n"/>
      <c r="I510" s="45" t="n"/>
      <c r="J510" s="38" t="n"/>
    </row>
    <row r="511">
      <c r="A511" s="16">
        <f>IF($B511="","",COUNTA($B$4:$B511))</f>
        <v/>
      </c>
      <c r="B511" s="72" t="n"/>
      <c r="C511" s="46" t="n"/>
      <c r="D511" s="47" t="n"/>
      <c r="E511" s="47" t="n"/>
      <c r="F511" s="47" t="n"/>
      <c r="G511" s="47" t="n"/>
      <c r="H511" s="47" t="n"/>
      <c r="I511" s="47" t="n"/>
      <c r="J511" s="40" t="n"/>
    </row>
    <row r="512">
      <c r="A512" s="16">
        <f>IF($B512="","",COUNTA($B$4:$B512))</f>
        <v/>
      </c>
      <c r="B512" s="71" t="n"/>
      <c r="C512" s="44" t="n"/>
      <c r="D512" s="45" t="n"/>
      <c r="E512" s="45" t="n"/>
      <c r="F512" s="45" t="n"/>
      <c r="G512" s="45" t="n"/>
      <c r="H512" s="45" t="n"/>
      <c r="I512" s="45" t="n"/>
      <c r="J512" s="38" t="n"/>
    </row>
    <row r="513">
      <c r="A513" s="16">
        <f>IF($B513="","",COUNTA($B$4:$B513))</f>
        <v/>
      </c>
      <c r="B513" s="72" t="n"/>
      <c r="C513" s="46" t="n"/>
      <c r="D513" s="47" t="n"/>
      <c r="E513" s="47" t="n"/>
      <c r="F513" s="47" t="n"/>
      <c r="G513" s="47" t="n"/>
      <c r="H513" s="47" t="n"/>
      <c r="I513" s="47" t="n"/>
      <c r="J513" s="40" t="n"/>
    </row>
    <row r="514">
      <c r="A514" s="16">
        <f>IF($B514="","",COUNTA($B$4:$B514))</f>
        <v/>
      </c>
      <c r="B514" s="71" t="n"/>
      <c r="C514" s="44" t="n"/>
      <c r="D514" s="45" t="n"/>
      <c r="E514" s="45" t="n"/>
      <c r="F514" s="45" t="n"/>
      <c r="G514" s="45" t="n"/>
      <c r="H514" s="45" t="n"/>
      <c r="I514" s="45" t="n"/>
      <c r="J514" s="38" t="n"/>
    </row>
    <row r="515">
      <c r="A515" s="16">
        <f>IF($B515="","",COUNTA($B$4:$B515))</f>
        <v/>
      </c>
      <c r="B515" s="72" t="n"/>
      <c r="C515" s="46" t="n"/>
      <c r="D515" s="47" t="n"/>
      <c r="E515" s="47" t="n"/>
      <c r="F515" s="47" t="n"/>
      <c r="G515" s="47" t="n"/>
      <c r="H515" s="47" t="n"/>
      <c r="I515" s="47" t="n"/>
      <c r="J515" s="40" t="n"/>
    </row>
    <row r="516">
      <c r="A516" s="16">
        <f>IF($B516="","",COUNTA($B$4:$B516))</f>
        <v/>
      </c>
      <c r="B516" s="71" t="n"/>
      <c r="C516" s="44" t="n"/>
      <c r="D516" s="45" t="n"/>
      <c r="E516" s="45" t="n"/>
      <c r="F516" s="45" t="n"/>
      <c r="G516" s="45" t="n"/>
      <c r="H516" s="45" t="n"/>
      <c r="I516" s="45" t="n"/>
      <c r="J516" s="38" t="n"/>
    </row>
    <row r="517">
      <c r="A517" s="16">
        <f>IF($B517="","",COUNTA($B$4:$B517))</f>
        <v/>
      </c>
      <c r="B517" s="72" t="n"/>
      <c r="C517" s="46" t="n"/>
      <c r="D517" s="47" t="n"/>
      <c r="E517" s="47" t="n"/>
      <c r="F517" s="47" t="n"/>
      <c r="G517" s="47" t="n"/>
      <c r="H517" s="47" t="n"/>
      <c r="I517" s="47" t="n"/>
      <c r="J517" s="40" t="n"/>
    </row>
    <row r="518">
      <c r="A518" s="16">
        <f>IF($B518="","",COUNTA($B$4:$B518))</f>
        <v/>
      </c>
      <c r="B518" s="71" t="n"/>
      <c r="C518" s="44" t="n"/>
      <c r="D518" s="45" t="n"/>
      <c r="E518" s="45" t="n"/>
      <c r="F518" s="45" t="n"/>
      <c r="G518" s="45" t="n"/>
      <c r="H518" s="45" t="n"/>
      <c r="I518" s="45" t="n"/>
      <c r="J518" s="38" t="n"/>
    </row>
    <row r="519">
      <c r="A519" s="16">
        <f>IF($B519="","",COUNTA($B$4:$B519))</f>
        <v/>
      </c>
      <c r="B519" s="72" t="n"/>
      <c r="C519" s="46" t="n"/>
      <c r="D519" s="47" t="n"/>
      <c r="E519" s="47" t="n"/>
      <c r="F519" s="47" t="n"/>
      <c r="G519" s="47" t="n"/>
      <c r="H519" s="47" t="n"/>
      <c r="I519" s="47" t="n"/>
      <c r="J519" s="40" t="n"/>
    </row>
    <row r="520">
      <c r="A520" s="16">
        <f>IF($B520="","",COUNTA($B$4:$B520))</f>
        <v/>
      </c>
      <c r="B520" s="71" t="n"/>
      <c r="C520" s="44" t="n"/>
      <c r="D520" s="45" t="n"/>
      <c r="E520" s="45" t="n"/>
      <c r="F520" s="45" t="n"/>
      <c r="G520" s="45" t="n"/>
      <c r="H520" s="45" t="n"/>
      <c r="I520" s="45" t="n"/>
      <c r="J520" s="38" t="n"/>
    </row>
    <row r="521">
      <c r="A521" s="16">
        <f>IF($B521="","",COUNTA($B$4:$B521))</f>
        <v/>
      </c>
      <c r="B521" s="72" t="n"/>
      <c r="C521" s="46" t="n"/>
      <c r="D521" s="47" t="n"/>
      <c r="E521" s="47" t="n"/>
      <c r="F521" s="47" t="n"/>
      <c r="G521" s="47" t="n"/>
      <c r="H521" s="47" t="n"/>
      <c r="I521" s="47" t="n"/>
      <c r="J521" s="40" t="n"/>
    </row>
    <row r="522">
      <c r="A522" s="16">
        <f>IF($B522="","",COUNTA($B$4:$B522))</f>
        <v/>
      </c>
      <c r="B522" s="71" t="n"/>
      <c r="C522" s="44" t="n"/>
      <c r="D522" s="45" t="n"/>
      <c r="E522" s="45" t="n"/>
      <c r="F522" s="45" t="n"/>
      <c r="G522" s="45" t="n"/>
      <c r="H522" s="45" t="n"/>
      <c r="I522" s="45" t="n"/>
      <c r="J522" s="38" t="n"/>
    </row>
    <row r="523">
      <c r="A523" s="16">
        <f>IF($B523="","",COUNTA($B$4:$B523))</f>
        <v/>
      </c>
      <c r="B523" s="72" t="n"/>
      <c r="C523" s="46" t="n"/>
      <c r="D523" s="47" t="n"/>
      <c r="E523" s="47" t="n"/>
      <c r="F523" s="47" t="n"/>
      <c r="G523" s="47" t="n"/>
      <c r="H523" s="47" t="n"/>
      <c r="I523" s="47" t="n"/>
      <c r="J523" s="40" t="n"/>
    </row>
    <row r="524">
      <c r="A524" s="16">
        <f>IF($B524="","",COUNTA($B$4:$B524))</f>
        <v/>
      </c>
      <c r="B524" s="71" t="n"/>
      <c r="C524" s="44" t="n"/>
      <c r="D524" s="45" t="n"/>
      <c r="E524" s="45" t="n"/>
      <c r="F524" s="45" t="n"/>
      <c r="G524" s="45" t="n"/>
      <c r="H524" s="45" t="n"/>
      <c r="I524" s="45" t="n"/>
      <c r="J524" s="38" t="n"/>
    </row>
    <row r="525">
      <c r="A525" s="16">
        <f>IF($B525="","",COUNTA($B$4:$B525))</f>
        <v/>
      </c>
      <c r="B525" s="72" t="n"/>
      <c r="C525" s="46" t="n"/>
      <c r="D525" s="47" t="n"/>
      <c r="E525" s="47" t="n"/>
      <c r="F525" s="47" t="n"/>
      <c r="G525" s="47" t="n"/>
      <c r="H525" s="47" t="n"/>
      <c r="I525" s="47" t="n"/>
      <c r="J525" s="40" t="n"/>
    </row>
    <row r="526">
      <c r="A526" s="16">
        <f>IF($B526="","",COUNTA($B$4:$B526))</f>
        <v/>
      </c>
      <c r="B526" s="71" t="n"/>
      <c r="C526" s="44" t="n"/>
      <c r="D526" s="45" t="n"/>
      <c r="E526" s="45" t="n"/>
      <c r="F526" s="45" t="n"/>
      <c r="G526" s="45" t="n"/>
      <c r="H526" s="45" t="n"/>
      <c r="I526" s="45" t="n"/>
      <c r="J526" s="38" t="n"/>
    </row>
    <row r="527">
      <c r="A527" s="16">
        <f>IF($B527="","",COUNTA($B$4:$B527))</f>
        <v/>
      </c>
      <c r="B527" s="72" t="n"/>
      <c r="C527" s="46" t="n"/>
      <c r="D527" s="47" t="n"/>
      <c r="E527" s="47" t="n"/>
      <c r="F527" s="47" t="n"/>
      <c r="G527" s="47" t="n"/>
      <c r="H527" s="47" t="n"/>
      <c r="I527" s="47" t="n"/>
      <c r="J527" s="40" t="n"/>
    </row>
    <row r="528">
      <c r="A528" s="16">
        <f>IF($B528="","",COUNTA($B$4:$B528))</f>
        <v/>
      </c>
      <c r="B528" s="71" t="n"/>
      <c r="C528" s="44" t="n"/>
      <c r="D528" s="45" t="n"/>
      <c r="E528" s="45" t="n"/>
      <c r="F528" s="45" t="n"/>
      <c r="G528" s="45" t="n"/>
      <c r="H528" s="45" t="n"/>
      <c r="I528" s="45" t="n"/>
      <c r="J528" s="38" t="n"/>
    </row>
    <row r="529">
      <c r="A529" s="16">
        <f>IF($B529="","",COUNTA($B$4:$B529))</f>
        <v/>
      </c>
      <c r="B529" s="72" t="n"/>
      <c r="C529" s="46" t="n"/>
      <c r="D529" s="47" t="n"/>
      <c r="E529" s="47" t="n"/>
      <c r="F529" s="47" t="n"/>
      <c r="G529" s="47" t="n"/>
      <c r="H529" s="47" t="n"/>
      <c r="I529" s="47" t="n"/>
      <c r="J529" s="40" t="n"/>
    </row>
    <row r="530">
      <c r="A530" s="16">
        <f>IF($B530="","",COUNTA($B$4:$B530))</f>
        <v/>
      </c>
      <c r="B530" s="71" t="n"/>
      <c r="C530" s="44" t="n"/>
      <c r="D530" s="45" t="n"/>
      <c r="E530" s="45" t="n"/>
      <c r="F530" s="45" t="n"/>
      <c r="G530" s="45" t="n"/>
      <c r="H530" s="45" t="n"/>
      <c r="I530" s="45" t="n"/>
      <c r="J530" s="38" t="n"/>
    </row>
    <row r="531">
      <c r="A531" s="16">
        <f>IF($B531="","",COUNTA($B$4:$B531))</f>
        <v/>
      </c>
      <c r="B531" s="72" t="n"/>
      <c r="C531" s="46" t="n"/>
      <c r="D531" s="47" t="n"/>
      <c r="E531" s="47" t="n"/>
      <c r="F531" s="47" t="n"/>
      <c r="G531" s="47" t="n"/>
      <c r="H531" s="47" t="n"/>
      <c r="I531" s="47" t="n"/>
      <c r="J531" s="40" t="n"/>
    </row>
    <row r="532">
      <c r="A532" s="16">
        <f>IF($B532="","",COUNTA($B$4:$B532))</f>
        <v/>
      </c>
      <c r="B532" s="71" t="n"/>
      <c r="C532" s="44" t="n"/>
      <c r="D532" s="45" t="n"/>
      <c r="E532" s="45" t="n"/>
      <c r="F532" s="45" t="n"/>
      <c r="G532" s="45" t="n"/>
      <c r="H532" s="45" t="n"/>
      <c r="I532" s="45" t="n"/>
      <c r="J532" s="38" t="n"/>
    </row>
    <row r="533">
      <c r="A533" s="16">
        <f>IF($B533="","",COUNTA($B$4:$B533))</f>
        <v/>
      </c>
      <c r="B533" s="72" t="n"/>
      <c r="C533" s="46" t="n"/>
      <c r="D533" s="47" t="n"/>
      <c r="E533" s="47" t="n"/>
      <c r="F533" s="47" t="n"/>
      <c r="G533" s="47" t="n"/>
      <c r="H533" s="47" t="n"/>
      <c r="I533" s="47" t="n"/>
      <c r="J533" s="40" t="n"/>
    </row>
    <row r="534">
      <c r="A534" s="16">
        <f>IF($B534="","",COUNTA($B$4:$B534))</f>
        <v/>
      </c>
      <c r="B534" s="71" t="n"/>
      <c r="C534" s="44" t="n"/>
      <c r="D534" s="45" t="n"/>
      <c r="E534" s="45" t="n"/>
      <c r="F534" s="45" t="n"/>
      <c r="G534" s="45" t="n"/>
      <c r="H534" s="45" t="n"/>
      <c r="I534" s="45" t="n"/>
      <c r="J534" s="38" t="n"/>
    </row>
    <row r="535">
      <c r="A535" s="16">
        <f>IF($B535="","",COUNTA($B$4:$B535))</f>
        <v/>
      </c>
      <c r="B535" s="72" t="n"/>
      <c r="C535" s="46" t="n"/>
      <c r="D535" s="47" t="n"/>
      <c r="E535" s="47" t="n"/>
      <c r="F535" s="47" t="n"/>
      <c r="G535" s="47" t="n"/>
      <c r="H535" s="47" t="n"/>
      <c r="I535" s="47" t="n"/>
      <c r="J535" s="40" t="n"/>
    </row>
    <row r="536">
      <c r="A536" s="16">
        <f>IF($B536="","",COUNTA($B$4:$B536))</f>
        <v/>
      </c>
      <c r="B536" s="71" t="n"/>
      <c r="C536" s="44" t="n"/>
      <c r="D536" s="45" t="n"/>
      <c r="E536" s="45" t="n"/>
      <c r="F536" s="45" t="n"/>
      <c r="G536" s="45" t="n"/>
      <c r="H536" s="45" t="n"/>
      <c r="I536" s="45" t="n"/>
      <c r="J536" s="38" t="n"/>
    </row>
    <row r="537">
      <c r="A537" s="16">
        <f>IF($B537="","",COUNTA($B$4:$B537))</f>
        <v/>
      </c>
      <c r="B537" s="72" t="n"/>
      <c r="C537" s="46" t="n"/>
      <c r="D537" s="47" t="n"/>
      <c r="E537" s="47" t="n"/>
      <c r="F537" s="47" t="n"/>
      <c r="G537" s="47" t="n"/>
      <c r="H537" s="47" t="n"/>
      <c r="I537" s="47" t="n"/>
      <c r="J537" s="40" t="n"/>
    </row>
    <row r="538">
      <c r="A538" s="16">
        <f>IF($B538="","",COUNTA($B$4:$B538))</f>
        <v/>
      </c>
      <c r="B538" s="71" t="n"/>
      <c r="C538" s="44" t="n"/>
      <c r="D538" s="45" t="n"/>
      <c r="E538" s="45" t="n"/>
      <c r="F538" s="45" t="n"/>
      <c r="G538" s="45" t="n"/>
      <c r="H538" s="45" t="n"/>
      <c r="I538" s="45" t="n"/>
      <c r="J538" s="38" t="n"/>
    </row>
    <row r="539">
      <c r="A539" s="16">
        <f>IF($B539="","",COUNTA($B$4:$B539))</f>
        <v/>
      </c>
      <c r="B539" s="72" t="n"/>
      <c r="C539" s="46" t="n"/>
      <c r="D539" s="47" t="n"/>
      <c r="E539" s="47" t="n"/>
      <c r="F539" s="47" t="n"/>
      <c r="G539" s="47" t="n"/>
      <c r="H539" s="47" t="n"/>
      <c r="I539" s="47" t="n"/>
      <c r="J539" s="40" t="n"/>
    </row>
    <row r="540">
      <c r="A540" s="16">
        <f>IF($B540="","",COUNTA($B$4:$B540))</f>
        <v/>
      </c>
      <c r="B540" s="71" t="n"/>
      <c r="C540" s="44" t="n"/>
      <c r="D540" s="45" t="n"/>
      <c r="E540" s="45" t="n"/>
      <c r="F540" s="45" t="n"/>
      <c r="G540" s="45" t="n"/>
      <c r="H540" s="45" t="n"/>
      <c r="I540" s="45" t="n"/>
      <c r="J540" s="38" t="n"/>
    </row>
    <row r="541">
      <c r="A541" s="16">
        <f>IF($B541="","",COUNTA($B$4:$B541))</f>
        <v/>
      </c>
      <c r="B541" s="72" t="n"/>
      <c r="C541" s="46" t="n"/>
      <c r="D541" s="47" t="n"/>
      <c r="E541" s="47" t="n"/>
      <c r="F541" s="47" t="n"/>
      <c r="G541" s="47" t="n"/>
      <c r="H541" s="47" t="n"/>
      <c r="I541" s="47" t="n"/>
      <c r="J541" s="40" t="n"/>
    </row>
    <row r="542">
      <c r="A542" s="16">
        <f>IF($B542="","",COUNTA($B$4:$B542))</f>
        <v/>
      </c>
      <c r="B542" s="71" t="n"/>
      <c r="C542" s="44" t="n"/>
      <c r="D542" s="45" t="n"/>
      <c r="E542" s="45" t="n"/>
      <c r="F542" s="45" t="n"/>
      <c r="G542" s="45" t="n"/>
      <c r="H542" s="45" t="n"/>
      <c r="I542" s="45" t="n"/>
      <c r="J542" s="38" t="n"/>
    </row>
    <row r="543">
      <c r="A543" s="16">
        <f>IF($B543="","",COUNTA($B$4:$B543))</f>
        <v/>
      </c>
      <c r="B543" s="72" t="n"/>
      <c r="C543" s="46" t="n"/>
      <c r="D543" s="47" t="n"/>
      <c r="E543" s="47" t="n"/>
      <c r="F543" s="47" t="n"/>
      <c r="G543" s="47" t="n"/>
      <c r="H543" s="47" t="n"/>
      <c r="I543" s="47" t="n"/>
      <c r="J543" s="40" t="n"/>
    </row>
    <row r="544">
      <c r="A544" s="16">
        <f>IF($B544="","",COUNTA($B$4:$B544))</f>
        <v/>
      </c>
      <c r="B544" s="71" t="n"/>
      <c r="C544" s="44" t="n"/>
      <c r="D544" s="45" t="n"/>
      <c r="E544" s="45" t="n"/>
      <c r="F544" s="45" t="n"/>
      <c r="G544" s="45" t="n"/>
      <c r="H544" s="45" t="n"/>
      <c r="I544" s="45" t="n"/>
      <c r="J544" s="38" t="n"/>
    </row>
    <row r="545">
      <c r="A545" s="16">
        <f>IF($B545="","",COUNTA($B$4:$B545))</f>
        <v/>
      </c>
      <c r="B545" s="72" t="n"/>
      <c r="C545" s="46" t="n"/>
      <c r="D545" s="47" t="n"/>
      <c r="E545" s="47" t="n"/>
      <c r="F545" s="47" t="n"/>
      <c r="G545" s="47" t="n"/>
      <c r="H545" s="47" t="n"/>
      <c r="I545" s="47" t="n"/>
      <c r="J545" s="40" t="n"/>
    </row>
    <row r="546">
      <c r="A546" s="16">
        <f>IF($B546="","",COUNTA($B$4:$B546))</f>
        <v/>
      </c>
      <c r="B546" s="71" t="n"/>
      <c r="C546" s="44" t="n"/>
      <c r="D546" s="45" t="n"/>
      <c r="E546" s="45" t="n"/>
      <c r="F546" s="45" t="n"/>
      <c r="G546" s="45" t="n"/>
      <c r="H546" s="45" t="n"/>
      <c r="I546" s="45" t="n"/>
      <c r="J546" s="38" t="n"/>
    </row>
    <row r="547">
      <c r="A547" s="16">
        <f>IF($B547="","",COUNTA($B$4:$B547))</f>
        <v/>
      </c>
      <c r="B547" s="72" t="n"/>
      <c r="C547" s="46" t="n"/>
      <c r="D547" s="47" t="n"/>
      <c r="E547" s="47" t="n"/>
      <c r="F547" s="47" t="n"/>
      <c r="G547" s="47" t="n"/>
      <c r="H547" s="47" t="n"/>
      <c r="I547" s="47" t="n"/>
      <c r="J547" s="40" t="n"/>
    </row>
    <row r="548">
      <c r="A548" s="16">
        <f>IF($B548="","",COUNTA($B$4:$B548))</f>
        <v/>
      </c>
      <c r="B548" s="71" t="n"/>
      <c r="C548" s="44" t="n"/>
      <c r="D548" s="45" t="n"/>
      <c r="E548" s="45" t="n"/>
      <c r="F548" s="45" t="n"/>
      <c r="G548" s="45" t="n"/>
      <c r="H548" s="45" t="n"/>
      <c r="I548" s="45" t="n"/>
      <c r="J548" s="38" t="n"/>
    </row>
    <row r="549">
      <c r="A549" s="16">
        <f>IF($B549="","",COUNTA($B$4:$B549))</f>
        <v/>
      </c>
      <c r="B549" s="72" t="n"/>
      <c r="C549" s="46" t="n"/>
      <c r="D549" s="47" t="n"/>
      <c r="E549" s="47" t="n"/>
      <c r="F549" s="47" t="n"/>
      <c r="G549" s="47" t="n"/>
      <c r="H549" s="47" t="n"/>
      <c r="I549" s="47" t="n"/>
      <c r="J549" s="40" t="n"/>
    </row>
    <row r="550">
      <c r="A550" s="16">
        <f>IF($B550="","",COUNTA($B$4:$B550))</f>
        <v/>
      </c>
      <c r="B550" s="71" t="n"/>
      <c r="C550" s="44" t="n"/>
      <c r="D550" s="45" t="n"/>
      <c r="E550" s="45" t="n"/>
      <c r="F550" s="45" t="n"/>
      <c r="G550" s="45" t="n"/>
      <c r="H550" s="45" t="n"/>
      <c r="I550" s="45" t="n"/>
      <c r="J550" s="38" t="n"/>
    </row>
    <row r="551">
      <c r="A551" s="16">
        <f>IF($B551="","",COUNTA($B$4:$B551))</f>
        <v/>
      </c>
      <c r="B551" s="72" t="n"/>
      <c r="C551" s="46" t="n"/>
      <c r="D551" s="47" t="n"/>
      <c r="E551" s="47" t="n"/>
      <c r="F551" s="47" t="n"/>
      <c r="G551" s="47" t="n"/>
      <c r="H551" s="47" t="n"/>
      <c r="I551" s="47" t="n"/>
      <c r="J551" s="40" t="n"/>
    </row>
    <row r="552">
      <c r="A552" s="16">
        <f>IF($B552="","",COUNTA($B$4:$B552))</f>
        <v/>
      </c>
      <c r="B552" s="71" t="n"/>
      <c r="C552" s="44" t="n"/>
      <c r="D552" s="45" t="n"/>
      <c r="E552" s="45" t="n"/>
      <c r="F552" s="45" t="n"/>
      <c r="G552" s="45" t="n"/>
      <c r="H552" s="45" t="n"/>
      <c r="I552" s="45" t="n"/>
      <c r="J552" s="38" t="n"/>
    </row>
    <row r="553">
      <c r="A553" s="16">
        <f>IF($B553="","",COUNTA($B$4:$B553))</f>
        <v/>
      </c>
      <c r="B553" s="72" t="n"/>
      <c r="C553" s="46" t="n"/>
      <c r="D553" s="47" t="n"/>
      <c r="E553" s="47" t="n"/>
      <c r="F553" s="47" t="n"/>
      <c r="G553" s="47" t="n"/>
      <c r="H553" s="47" t="n"/>
      <c r="I553" s="47" t="n"/>
      <c r="J553" s="40" t="n"/>
    </row>
    <row r="554">
      <c r="A554" s="16">
        <f>IF($B554="","",COUNTA($B$4:$B554))</f>
        <v/>
      </c>
      <c r="B554" s="71" t="n"/>
      <c r="C554" s="44" t="n"/>
      <c r="D554" s="45" t="n"/>
      <c r="E554" s="45" t="n"/>
      <c r="F554" s="45" t="n"/>
      <c r="G554" s="45" t="n"/>
      <c r="H554" s="45" t="n"/>
      <c r="I554" s="45" t="n"/>
      <c r="J554" s="38" t="n"/>
    </row>
    <row r="555">
      <c r="A555" s="16">
        <f>IF($B555="","",COUNTA($B$4:$B555))</f>
        <v/>
      </c>
      <c r="B555" s="72" t="n"/>
      <c r="C555" s="46" t="n"/>
      <c r="D555" s="47" t="n"/>
      <c r="E555" s="47" t="n"/>
      <c r="F555" s="47" t="n"/>
      <c r="G555" s="47" t="n"/>
      <c r="H555" s="47" t="n"/>
      <c r="I555" s="47" t="n"/>
      <c r="J555" s="40" t="n"/>
    </row>
    <row r="556">
      <c r="A556" s="16">
        <f>IF($B556="","",COUNTA($B$4:$B556))</f>
        <v/>
      </c>
      <c r="B556" s="71" t="n"/>
      <c r="C556" s="44" t="n"/>
      <c r="D556" s="45" t="n"/>
      <c r="E556" s="45" t="n"/>
      <c r="F556" s="45" t="n"/>
      <c r="G556" s="45" t="n"/>
      <c r="H556" s="45" t="n"/>
      <c r="I556" s="45" t="n"/>
      <c r="J556" s="38" t="n"/>
    </row>
    <row r="557">
      <c r="A557" s="16">
        <f>IF($B557="","",COUNTA($B$4:$B557))</f>
        <v/>
      </c>
      <c r="B557" s="72" t="n"/>
      <c r="C557" s="46" t="n"/>
      <c r="D557" s="47" t="n"/>
      <c r="E557" s="47" t="n"/>
      <c r="F557" s="47" t="n"/>
      <c r="G557" s="47" t="n"/>
      <c r="H557" s="47" t="n"/>
      <c r="I557" s="47" t="n"/>
      <c r="J557" s="40" t="n"/>
    </row>
    <row r="558">
      <c r="A558" s="16">
        <f>IF($B558="","",COUNTA($B$4:$B558))</f>
        <v/>
      </c>
      <c r="B558" s="71" t="n"/>
      <c r="C558" s="44" t="n"/>
      <c r="D558" s="45" t="n"/>
      <c r="E558" s="45" t="n"/>
      <c r="F558" s="45" t="n"/>
      <c r="G558" s="45" t="n"/>
      <c r="H558" s="45" t="n"/>
      <c r="I558" s="45" t="n"/>
      <c r="J558" s="38" t="n"/>
    </row>
    <row r="559">
      <c r="A559" s="16">
        <f>IF($B559="","",COUNTA($B$4:$B559))</f>
        <v/>
      </c>
      <c r="B559" s="72" t="n"/>
      <c r="C559" s="46" t="n"/>
      <c r="D559" s="47" t="n"/>
      <c r="E559" s="47" t="n"/>
      <c r="F559" s="47" t="n"/>
      <c r="G559" s="47" t="n"/>
      <c r="H559" s="47" t="n"/>
      <c r="I559" s="47" t="n"/>
      <c r="J559" s="40" t="n"/>
    </row>
    <row r="560">
      <c r="A560" s="16">
        <f>IF($B560="","",COUNTA($B$4:$B560))</f>
        <v/>
      </c>
      <c r="B560" s="71" t="n"/>
      <c r="C560" s="44" t="n"/>
      <c r="D560" s="45" t="n"/>
      <c r="E560" s="45" t="n"/>
      <c r="F560" s="45" t="n"/>
      <c r="G560" s="45" t="n"/>
      <c r="H560" s="45" t="n"/>
      <c r="I560" s="45" t="n"/>
      <c r="J560" s="38" t="n"/>
    </row>
    <row r="561">
      <c r="A561" s="16">
        <f>IF($B561="","",COUNTA($B$4:$B561))</f>
        <v/>
      </c>
      <c r="B561" s="72" t="n"/>
      <c r="C561" s="46" t="n"/>
      <c r="D561" s="47" t="n"/>
      <c r="E561" s="47" t="n"/>
      <c r="F561" s="47" t="n"/>
      <c r="G561" s="47" t="n"/>
      <c r="H561" s="47" t="n"/>
      <c r="I561" s="47" t="n"/>
      <c r="J561" s="40" t="n"/>
    </row>
    <row r="562">
      <c r="A562" s="16">
        <f>IF($B562="","",COUNTA($B$4:$B562))</f>
        <v/>
      </c>
      <c r="B562" s="71" t="n"/>
      <c r="C562" s="44" t="n"/>
      <c r="D562" s="45" t="n"/>
      <c r="E562" s="45" t="n"/>
      <c r="F562" s="45" t="n"/>
      <c r="G562" s="45" t="n"/>
      <c r="H562" s="45" t="n"/>
      <c r="I562" s="45" t="n"/>
      <c r="J562" s="38" t="n"/>
    </row>
    <row r="563">
      <c r="A563" s="16">
        <f>IF($B563="","",COUNTA($B$4:$B563))</f>
        <v/>
      </c>
      <c r="B563" s="72" t="n"/>
      <c r="C563" s="46" t="n"/>
      <c r="D563" s="47" t="n"/>
      <c r="E563" s="47" t="n"/>
      <c r="F563" s="47" t="n"/>
      <c r="G563" s="47" t="n"/>
      <c r="H563" s="47" t="n"/>
      <c r="I563" s="47" t="n"/>
      <c r="J563" s="40" t="n"/>
    </row>
    <row r="564">
      <c r="A564" s="16">
        <f>IF($B564="","",COUNTA($B$4:$B564))</f>
        <v/>
      </c>
      <c r="B564" s="71" t="n"/>
      <c r="C564" s="44" t="n"/>
      <c r="D564" s="45" t="n"/>
      <c r="E564" s="45" t="n"/>
      <c r="F564" s="45" t="n"/>
      <c r="G564" s="45" t="n"/>
      <c r="H564" s="45" t="n"/>
      <c r="I564" s="45" t="n"/>
      <c r="J564" s="38" t="n"/>
    </row>
    <row r="565">
      <c r="A565" s="16">
        <f>IF($B565="","",COUNTA($B$4:$B565))</f>
        <v/>
      </c>
      <c r="B565" s="72" t="n"/>
      <c r="C565" s="46" t="n"/>
      <c r="D565" s="47" t="n"/>
      <c r="E565" s="47" t="n"/>
      <c r="F565" s="47" t="n"/>
      <c r="G565" s="47" t="n"/>
      <c r="H565" s="47" t="n"/>
      <c r="I565" s="47" t="n"/>
      <c r="J565" s="40" t="n"/>
    </row>
    <row r="566">
      <c r="A566" s="16">
        <f>IF($B566="","",COUNTA($B$4:$B566))</f>
        <v/>
      </c>
      <c r="B566" s="71" t="n"/>
      <c r="C566" s="44" t="n"/>
      <c r="D566" s="45" t="n"/>
      <c r="E566" s="45" t="n"/>
      <c r="F566" s="45" t="n"/>
      <c r="G566" s="45" t="n"/>
      <c r="H566" s="45" t="n"/>
      <c r="I566" s="45" t="n"/>
      <c r="J566" s="38" t="n"/>
    </row>
    <row r="567">
      <c r="A567" s="16">
        <f>IF($B567="","",COUNTA($B$4:$B567))</f>
        <v/>
      </c>
      <c r="B567" s="72" t="n"/>
      <c r="C567" s="46" t="n"/>
      <c r="D567" s="47" t="n"/>
      <c r="E567" s="47" t="n"/>
      <c r="F567" s="47" t="n"/>
      <c r="G567" s="47" t="n"/>
      <c r="H567" s="47" t="n"/>
      <c r="I567" s="47" t="n"/>
      <c r="J567" s="40" t="n"/>
    </row>
    <row r="568">
      <c r="A568" s="16">
        <f>IF($B568="","",COUNTA($B$4:$B568))</f>
        <v/>
      </c>
      <c r="B568" s="71" t="n"/>
      <c r="C568" s="44" t="n"/>
      <c r="D568" s="45" t="n"/>
      <c r="E568" s="45" t="n"/>
      <c r="F568" s="45" t="n"/>
      <c r="G568" s="45" t="n"/>
      <c r="H568" s="45" t="n"/>
      <c r="I568" s="45" t="n"/>
      <c r="J568" s="38" t="n"/>
    </row>
    <row r="569">
      <c r="A569" s="16">
        <f>IF($B569="","",COUNTA($B$4:$B569))</f>
        <v/>
      </c>
      <c r="B569" s="72" t="n"/>
      <c r="C569" s="46" t="n"/>
      <c r="D569" s="47" t="n"/>
      <c r="E569" s="47" t="n"/>
      <c r="F569" s="47" t="n"/>
      <c r="G569" s="47" t="n"/>
      <c r="H569" s="47" t="n"/>
      <c r="I569" s="47" t="n"/>
      <c r="J569" s="40" t="n"/>
    </row>
    <row r="570">
      <c r="A570" s="16">
        <f>IF($B570="","",COUNTA($B$4:$B570))</f>
        <v/>
      </c>
      <c r="B570" s="71" t="n"/>
      <c r="C570" s="44" t="n"/>
      <c r="D570" s="45" t="n"/>
      <c r="E570" s="45" t="n"/>
      <c r="F570" s="45" t="n"/>
      <c r="G570" s="45" t="n"/>
      <c r="H570" s="45" t="n"/>
      <c r="I570" s="45" t="n"/>
      <c r="J570" s="38" t="n"/>
    </row>
    <row r="571">
      <c r="A571" s="16">
        <f>IF($B571="","",COUNTA($B$4:$B571))</f>
        <v/>
      </c>
      <c r="B571" s="72" t="n"/>
      <c r="C571" s="46" t="n"/>
      <c r="D571" s="47" t="n"/>
      <c r="E571" s="47" t="n"/>
      <c r="F571" s="47" t="n"/>
      <c r="G571" s="47" t="n"/>
      <c r="H571" s="47" t="n"/>
      <c r="I571" s="47" t="n"/>
      <c r="J571" s="40" t="n"/>
    </row>
    <row r="572">
      <c r="A572" s="16">
        <f>IF($B572="","",COUNTA($B$4:$B572))</f>
        <v/>
      </c>
      <c r="B572" s="71" t="n"/>
      <c r="C572" s="44" t="n"/>
      <c r="D572" s="45" t="n"/>
      <c r="E572" s="45" t="n"/>
      <c r="F572" s="45" t="n"/>
      <c r="G572" s="45" t="n"/>
      <c r="H572" s="45" t="n"/>
      <c r="I572" s="45" t="n"/>
      <c r="J572" s="38" t="n"/>
    </row>
    <row r="573">
      <c r="A573" s="16">
        <f>IF($B573="","",COUNTA($B$4:$B573))</f>
        <v/>
      </c>
      <c r="B573" s="72" t="n"/>
      <c r="C573" s="46" t="n"/>
      <c r="D573" s="47" t="n"/>
      <c r="E573" s="47" t="n"/>
      <c r="F573" s="47" t="n"/>
      <c r="G573" s="47" t="n"/>
      <c r="H573" s="47" t="n"/>
      <c r="I573" s="47" t="n"/>
      <c r="J573" s="40" t="n"/>
    </row>
    <row r="574">
      <c r="A574" s="16">
        <f>IF($B574="","",COUNTA($B$4:$B574))</f>
        <v/>
      </c>
      <c r="B574" s="71" t="n"/>
      <c r="C574" s="44" t="n"/>
      <c r="D574" s="45" t="n"/>
      <c r="E574" s="45" t="n"/>
      <c r="F574" s="45" t="n"/>
      <c r="G574" s="45" t="n"/>
      <c r="H574" s="45" t="n"/>
      <c r="I574" s="45" t="n"/>
      <c r="J574" s="38" t="n"/>
    </row>
    <row r="575">
      <c r="A575" s="16">
        <f>IF($B575="","",COUNTA($B$4:$B575))</f>
        <v/>
      </c>
      <c r="B575" s="72" t="n"/>
      <c r="C575" s="46" t="n"/>
      <c r="D575" s="47" t="n"/>
      <c r="E575" s="47" t="n"/>
      <c r="F575" s="47" t="n"/>
      <c r="G575" s="47" t="n"/>
      <c r="H575" s="47" t="n"/>
      <c r="I575" s="47" t="n"/>
      <c r="J575" s="40" t="n"/>
    </row>
    <row r="576">
      <c r="A576" s="16">
        <f>IF($B576="","",COUNTA($B$4:$B576))</f>
        <v/>
      </c>
      <c r="B576" s="71" t="n"/>
      <c r="C576" s="44" t="n"/>
      <c r="D576" s="45" t="n"/>
      <c r="E576" s="45" t="n"/>
      <c r="F576" s="45" t="n"/>
      <c r="G576" s="45" t="n"/>
      <c r="H576" s="45" t="n"/>
      <c r="I576" s="45" t="n"/>
      <c r="J576" s="38" t="n"/>
    </row>
    <row r="577">
      <c r="A577" s="16">
        <f>IF($B577="","",COUNTA($B$4:$B577))</f>
        <v/>
      </c>
      <c r="B577" s="72" t="n"/>
      <c r="C577" s="46" t="n"/>
      <c r="D577" s="47" t="n"/>
      <c r="E577" s="47" t="n"/>
      <c r="F577" s="47" t="n"/>
      <c r="G577" s="47" t="n"/>
      <c r="H577" s="47" t="n"/>
      <c r="I577" s="47" t="n"/>
      <c r="J577" s="40" t="n"/>
    </row>
    <row r="578">
      <c r="A578" s="16">
        <f>IF($B578="","",COUNTA($B$4:$B578))</f>
        <v/>
      </c>
      <c r="B578" s="71" t="n"/>
      <c r="C578" s="44" t="n"/>
      <c r="D578" s="45" t="n"/>
      <c r="E578" s="45" t="n"/>
      <c r="F578" s="45" t="n"/>
      <c r="G578" s="45" t="n"/>
      <c r="H578" s="45" t="n"/>
      <c r="I578" s="45" t="n"/>
      <c r="J578" s="38" t="n"/>
    </row>
    <row r="579">
      <c r="A579" s="16">
        <f>IF($B579="","",COUNTA($B$4:$B579))</f>
        <v/>
      </c>
      <c r="B579" s="72" t="n"/>
      <c r="C579" s="46" t="n"/>
      <c r="D579" s="47" t="n"/>
      <c r="E579" s="47" t="n"/>
      <c r="F579" s="47" t="n"/>
      <c r="G579" s="47" t="n"/>
      <c r="H579" s="47" t="n"/>
      <c r="I579" s="47" t="n"/>
      <c r="J579" s="40" t="n"/>
    </row>
    <row r="580">
      <c r="A580" s="16">
        <f>IF($B580="","",COUNTA($B$4:$B580))</f>
        <v/>
      </c>
      <c r="B580" s="71" t="n"/>
      <c r="C580" s="44" t="n"/>
      <c r="D580" s="45" t="n"/>
      <c r="E580" s="45" t="n"/>
      <c r="F580" s="45" t="n"/>
      <c r="G580" s="45" t="n"/>
      <c r="H580" s="45" t="n"/>
      <c r="I580" s="45" t="n"/>
      <c r="J580" s="38" t="n"/>
    </row>
    <row r="581">
      <c r="A581" s="16">
        <f>IF($B581="","",COUNTA($B$4:$B581))</f>
        <v/>
      </c>
      <c r="B581" s="72" t="n"/>
      <c r="C581" s="46" t="n"/>
      <c r="D581" s="47" t="n"/>
      <c r="E581" s="47" t="n"/>
      <c r="F581" s="47" t="n"/>
      <c r="G581" s="47" t="n"/>
      <c r="H581" s="47" t="n"/>
      <c r="I581" s="47" t="n"/>
      <c r="J581" s="40" t="n"/>
    </row>
    <row r="582">
      <c r="A582" s="16">
        <f>IF($B582="","",COUNTA($B$4:$B582))</f>
        <v/>
      </c>
      <c r="B582" s="71" t="n"/>
      <c r="C582" s="44" t="n"/>
      <c r="D582" s="45" t="n"/>
      <c r="E582" s="45" t="n"/>
      <c r="F582" s="45" t="n"/>
      <c r="G582" s="45" t="n"/>
      <c r="H582" s="45" t="n"/>
      <c r="I582" s="45" t="n"/>
      <c r="J582" s="38" t="n"/>
    </row>
    <row r="583">
      <c r="A583" s="16">
        <f>IF($B583="","",COUNTA($B$4:$B583))</f>
        <v/>
      </c>
      <c r="B583" s="72" t="n"/>
      <c r="C583" s="46" t="n"/>
      <c r="D583" s="47" t="n"/>
      <c r="E583" s="47" t="n"/>
      <c r="F583" s="47" t="n"/>
      <c r="G583" s="47" t="n"/>
      <c r="H583" s="47" t="n"/>
      <c r="I583" s="47" t="n"/>
      <c r="J583" s="40" t="n"/>
    </row>
    <row r="584">
      <c r="A584" s="16">
        <f>IF($B584="","",COUNTA($B$4:$B584))</f>
        <v/>
      </c>
      <c r="B584" s="71" t="n"/>
      <c r="C584" s="44" t="n"/>
      <c r="D584" s="45" t="n"/>
      <c r="E584" s="45" t="n"/>
      <c r="F584" s="45" t="n"/>
      <c r="G584" s="45" t="n"/>
      <c r="H584" s="45" t="n"/>
      <c r="I584" s="45" t="n"/>
      <c r="J584" s="38" t="n"/>
    </row>
    <row r="585">
      <c r="A585" s="16">
        <f>IF($B585="","",COUNTA($B$4:$B585))</f>
        <v/>
      </c>
      <c r="B585" s="72" t="n"/>
      <c r="C585" s="46" t="n"/>
      <c r="D585" s="47" t="n"/>
      <c r="E585" s="47" t="n"/>
      <c r="F585" s="47" t="n"/>
      <c r="G585" s="47" t="n"/>
      <c r="H585" s="47" t="n"/>
      <c r="I585" s="47" t="n"/>
      <c r="J585" s="40" t="n"/>
    </row>
    <row r="586">
      <c r="A586" s="16">
        <f>IF($B586="","",COUNTA($B$4:$B586))</f>
        <v/>
      </c>
      <c r="B586" s="71" t="n"/>
      <c r="C586" s="44" t="n"/>
      <c r="D586" s="45" t="n"/>
      <c r="E586" s="45" t="n"/>
      <c r="F586" s="45" t="n"/>
      <c r="G586" s="45" t="n"/>
      <c r="H586" s="45" t="n"/>
      <c r="I586" s="45" t="n"/>
      <c r="J586" s="38" t="n"/>
    </row>
    <row r="587">
      <c r="A587" s="16">
        <f>IF($B587="","",COUNTA($B$4:$B587))</f>
        <v/>
      </c>
      <c r="B587" s="72" t="n"/>
      <c r="C587" s="46" t="n"/>
      <c r="D587" s="47" t="n"/>
      <c r="E587" s="47" t="n"/>
      <c r="F587" s="47" t="n"/>
      <c r="G587" s="47" t="n"/>
      <c r="H587" s="47" t="n"/>
      <c r="I587" s="47" t="n"/>
      <c r="J587" s="40" t="n"/>
    </row>
    <row r="588">
      <c r="A588" s="16">
        <f>IF($B588="","",COUNTA($B$4:$B588))</f>
        <v/>
      </c>
      <c r="B588" s="71" t="n"/>
      <c r="C588" s="44" t="n"/>
      <c r="D588" s="45" t="n"/>
      <c r="E588" s="45" t="n"/>
      <c r="F588" s="45" t="n"/>
      <c r="G588" s="45" t="n"/>
      <c r="H588" s="45" t="n"/>
      <c r="I588" s="45" t="n"/>
      <c r="J588" s="38" t="n"/>
    </row>
    <row r="589">
      <c r="A589" s="16">
        <f>IF($B589="","",COUNTA($B$4:$B589))</f>
        <v/>
      </c>
      <c r="B589" s="72" t="n"/>
      <c r="C589" s="46" t="n"/>
      <c r="D589" s="47" t="n"/>
      <c r="E589" s="47" t="n"/>
      <c r="F589" s="47" t="n"/>
      <c r="G589" s="47" t="n"/>
      <c r="H589" s="47" t="n"/>
      <c r="I589" s="47" t="n"/>
      <c r="J589" s="40" t="n"/>
    </row>
    <row r="590">
      <c r="A590" s="16">
        <f>IF($B590="","",COUNTA($B$4:$B590))</f>
        <v/>
      </c>
      <c r="B590" s="71" t="n"/>
      <c r="C590" s="44" t="n"/>
      <c r="D590" s="45" t="n"/>
      <c r="E590" s="45" t="n"/>
      <c r="F590" s="45" t="n"/>
      <c r="G590" s="45" t="n"/>
      <c r="H590" s="45" t="n"/>
      <c r="I590" s="45" t="n"/>
      <c r="J590" s="38" t="n"/>
    </row>
    <row r="591">
      <c r="A591" s="16">
        <f>IF($B591="","",COUNTA($B$4:$B591))</f>
        <v/>
      </c>
      <c r="B591" s="72" t="n"/>
      <c r="C591" s="46" t="n"/>
      <c r="D591" s="47" t="n"/>
      <c r="E591" s="47" t="n"/>
      <c r="F591" s="47" t="n"/>
      <c r="G591" s="47" t="n"/>
      <c r="H591" s="47" t="n"/>
      <c r="I591" s="47" t="n"/>
      <c r="J591" s="40" t="n"/>
    </row>
    <row r="592">
      <c r="A592" s="16">
        <f>IF($B592="","",COUNTA($B$4:$B592))</f>
        <v/>
      </c>
      <c r="B592" s="71" t="n"/>
      <c r="C592" s="44" t="n"/>
      <c r="D592" s="45" t="n"/>
      <c r="E592" s="45" t="n"/>
      <c r="F592" s="45" t="n"/>
      <c r="G592" s="45" t="n"/>
      <c r="H592" s="45" t="n"/>
      <c r="I592" s="45" t="n"/>
      <c r="J592" s="38" t="n"/>
    </row>
    <row r="593">
      <c r="A593" s="16">
        <f>IF($B593="","",COUNTA($B$4:$B593))</f>
        <v/>
      </c>
      <c r="B593" s="72" t="n"/>
      <c r="C593" s="46" t="n"/>
      <c r="D593" s="47" t="n"/>
      <c r="E593" s="47" t="n"/>
      <c r="F593" s="47" t="n"/>
      <c r="G593" s="47" t="n"/>
      <c r="H593" s="47" t="n"/>
      <c r="I593" s="47" t="n"/>
      <c r="J593" s="40" t="n"/>
    </row>
    <row r="594">
      <c r="A594" s="16">
        <f>IF($B594="","",COUNTA($B$4:$B594))</f>
        <v/>
      </c>
      <c r="B594" s="71" t="n"/>
      <c r="C594" s="44" t="n"/>
      <c r="D594" s="45" t="n"/>
      <c r="E594" s="45" t="n"/>
      <c r="F594" s="45" t="n"/>
      <c r="G594" s="45" t="n"/>
      <c r="H594" s="45" t="n"/>
      <c r="I594" s="45" t="n"/>
      <c r="J594" s="38" t="n"/>
    </row>
    <row r="595">
      <c r="A595" s="16">
        <f>IF($B595="","",COUNTA($B$4:$B595))</f>
        <v/>
      </c>
      <c r="B595" s="72" t="n"/>
      <c r="C595" s="46" t="n"/>
      <c r="D595" s="47" t="n"/>
      <c r="E595" s="47" t="n"/>
      <c r="F595" s="47" t="n"/>
      <c r="G595" s="47" t="n"/>
      <c r="H595" s="47" t="n"/>
      <c r="I595" s="47" t="n"/>
      <c r="J595" s="40" t="n"/>
    </row>
    <row r="596">
      <c r="A596" s="16">
        <f>IF($B596="","",COUNTA($B$4:$B596))</f>
        <v/>
      </c>
      <c r="B596" s="71" t="n"/>
      <c r="C596" s="44" t="n"/>
      <c r="D596" s="45" t="n"/>
      <c r="E596" s="45" t="n"/>
      <c r="F596" s="45" t="n"/>
      <c r="G596" s="45" t="n"/>
      <c r="H596" s="45" t="n"/>
      <c r="I596" s="45" t="n"/>
      <c r="J596" s="38" t="n"/>
    </row>
    <row r="597">
      <c r="A597" s="16">
        <f>IF($B597="","",COUNTA($B$4:$B597))</f>
        <v/>
      </c>
      <c r="B597" s="72" t="n"/>
      <c r="C597" s="46" t="n"/>
      <c r="D597" s="47" t="n"/>
      <c r="E597" s="47" t="n"/>
      <c r="F597" s="47" t="n"/>
      <c r="G597" s="47" t="n"/>
      <c r="H597" s="47" t="n"/>
      <c r="I597" s="47" t="n"/>
      <c r="J597" s="40" t="n"/>
    </row>
    <row r="598">
      <c r="A598" s="16">
        <f>IF($B598="","",COUNTA($B$4:$B598))</f>
        <v/>
      </c>
      <c r="B598" s="71" t="n"/>
      <c r="C598" s="44" t="n"/>
      <c r="D598" s="45" t="n"/>
      <c r="E598" s="45" t="n"/>
      <c r="F598" s="45" t="n"/>
      <c r="G598" s="45" t="n"/>
      <c r="H598" s="45" t="n"/>
      <c r="I598" s="45" t="n"/>
      <c r="J598" s="38" t="n"/>
    </row>
    <row r="599">
      <c r="A599" s="16">
        <f>IF($B599="","",COUNTA($B$4:$B599))</f>
        <v/>
      </c>
      <c r="B599" s="72" t="n"/>
      <c r="C599" s="46" t="n"/>
      <c r="D599" s="47" t="n"/>
      <c r="E599" s="47" t="n"/>
      <c r="F599" s="47" t="n"/>
      <c r="G599" s="47" t="n"/>
      <c r="H599" s="47" t="n"/>
      <c r="I599" s="47" t="n"/>
      <c r="J599" s="40" t="n"/>
    </row>
    <row r="600">
      <c r="A600" s="16">
        <f>IF($B600="","",COUNTA($B$4:$B600))</f>
        <v/>
      </c>
      <c r="B600" s="71" t="n"/>
      <c r="C600" s="44" t="n"/>
      <c r="D600" s="45" t="n"/>
      <c r="E600" s="45" t="n"/>
      <c r="F600" s="45" t="n"/>
      <c r="G600" s="45" t="n"/>
      <c r="H600" s="45" t="n"/>
      <c r="I600" s="45" t="n"/>
      <c r="J600" s="38" t="n"/>
    </row>
    <row r="601">
      <c r="A601" s="16">
        <f>IF($B601="","",COUNTA($B$4:$B601))</f>
        <v/>
      </c>
      <c r="B601" s="72" t="n"/>
      <c r="C601" s="46" t="n"/>
      <c r="D601" s="47" t="n"/>
      <c r="E601" s="47" t="n"/>
      <c r="F601" s="47" t="n"/>
      <c r="G601" s="47" t="n"/>
      <c r="H601" s="47" t="n"/>
      <c r="I601" s="47" t="n"/>
      <c r="J601" s="40" t="n"/>
    </row>
    <row r="602">
      <c r="A602" s="16">
        <f>IF($B602="","",COUNTA($B$4:$B602))</f>
        <v/>
      </c>
      <c r="B602" s="71" t="n"/>
      <c r="C602" s="44" t="n"/>
      <c r="D602" s="45" t="n"/>
      <c r="E602" s="45" t="n"/>
      <c r="F602" s="45" t="n"/>
      <c r="G602" s="45" t="n"/>
      <c r="H602" s="45" t="n"/>
      <c r="I602" s="45" t="n"/>
      <c r="J602" s="38" t="n"/>
    </row>
    <row r="603">
      <c r="A603" s="16">
        <f>IF($B603="","",COUNTA($B$4:$B603))</f>
        <v/>
      </c>
      <c r="B603" s="72" t="n"/>
      <c r="C603" s="46" t="n"/>
      <c r="D603" s="47" t="n"/>
      <c r="E603" s="47" t="n"/>
      <c r="F603" s="47" t="n"/>
      <c r="G603" s="47" t="n"/>
      <c r="H603" s="47" t="n"/>
      <c r="I603" s="47" t="n"/>
      <c r="J603" s="40" t="n"/>
    </row>
    <row r="604">
      <c r="A604" s="16">
        <f>IF($B604="","",COUNTA($B$4:$B604))</f>
        <v/>
      </c>
      <c r="B604" s="71" t="n"/>
      <c r="C604" s="44" t="n"/>
      <c r="D604" s="45" t="n"/>
      <c r="E604" s="45" t="n"/>
      <c r="F604" s="45" t="n"/>
      <c r="G604" s="45" t="n"/>
      <c r="H604" s="45" t="n"/>
      <c r="I604" s="45" t="n"/>
      <c r="J604" s="38" t="n"/>
    </row>
    <row r="605">
      <c r="A605" s="16">
        <f>IF($B605="","",COUNTA($B$4:$B605))</f>
        <v/>
      </c>
      <c r="B605" s="72" t="n"/>
      <c r="C605" s="46" t="n"/>
      <c r="D605" s="47" t="n"/>
      <c r="E605" s="47" t="n"/>
      <c r="F605" s="47" t="n"/>
      <c r="G605" s="47" t="n"/>
      <c r="H605" s="47" t="n"/>
      <c r="I605" s="47" t="n"/>
      <c r="J605" s="40" t="n"/>
    </row>
    <row r="606">
      <c r="A606" s="16">
        <f>IF($B606="","",COUNTA($B$4:$B606))</f>
        <v/>
      </c>
      <c r="B606" s="71" t="n"/>
      <c r="C606" s="44" t="n"/>
      <c r="D606" s="45" t="n"/>
      <c r="E606" s="45" t="n"/>
      <c r="F606" s="45" t="n"/>
      <c r="G606" s="45" t="n"/>
      <c r="H606" s="45" t="n"/>
      <c r="I606" s="45" t="n"/>
      <c r="J606" s="38" t="n"/>
    </row>
    <row r="607">
      <c r="A607" s="16">
        <f>IF($B607="","",COUNTA($B$4:$B607))</f>
        <v/>
      </c>
      <c r="B607" s="72" t="n"/>
      <c r="C607" s="46" t="n"/>
      <c r="D607" s="47" t="n"/>
      <c r="E607" s="47" t="n"/>
      <c r="F607" s="47" t="n"/>
      <c r="G607" s="47" t="n"/>
      <c r="H607" s="47" t="n"/>
      <c r="I607" s="47" t="n"/>
      <c r="J607" s="40" t="n"/>
    </row>
    <row r="608">
      <c r="A608" s="16">
        <f>IF($B608="","",COUNTA($B$4:$B608))</f>
        <v/>
      </c>
      <c r="B608" s="71" t="n"/>
      <c r="C608" s="44" t="n"/>
      <c r="D608" s="45" t="n"/>
      <c r="E608" s="45" t="n"/>
      <c r="F608" s="45" t="n"/>
      <c r="G608" s="45" t="n"/>
      <c r="H608" s="45" t="n"/>
      <c r="I608" s="45" t="n"/>
      <c r="J608" s="38" t="n"/>
    </row>
    <row r="609">
      <c r="A609" s="16">
        <f>IF($B609="","",COUNTA($B$4:$B609))</f>
        <v/>
      </c>
      <c r="B609" s="72" t="n"/>
      <c r="C609" s="46" t="n"/>
      <c r="D609" s="47" t="n"/>
      <c r="E609" s="47" t="n"/>
      <c r="F609" s="47" t="n"/>
      <c r="G609" s="47" t="n"/>
      <c r="H609" s="47" t="n"/>
      <c r="I609" s="47" t="n"/>
      <c r="J609" s="40" t="n"/>
    </row>
    <row r="610">
      <c r="A610" s="16">
        <f>IF($B610="","",COUNTA($B$4:$B610))</f>
        <v/>
      </c>
      <c r="B610" s="71" t="n"/>
      <c r="C610" s="44" t="n"/>
      <c r="D610" s="45" t="n"/>
      <c r="E610" s="45" t="n"/>
      <c r="F610" s="45" t="n"/>
      <c r="G610" s="45" t="n"/>
      <c r="H610" s="45" t="n"/>
      <c r="I610" s="45" t="n"/>
      <c r="J610" s="38" t="n"/>
    </row>
    <row r="611">
      <c r="A611" s="16">
        <f>IF($B611="","",COUNTA($B$4:$B611))</f>
        <v/>
      </c>
      <c r="B611" s="72" t="n"/>
      <c r="C611" s="46" t="n"/>
      <c r="D611" s="47" t="n"/>
      <c r="E611" s="47" t="n"/>
      <c r="F611" s="47" t="n"/>
      <c r="G611" s="47" t="n"/>
      <c r="H611" s="47" t="n"/>
      <c r="I611" s="47" t="n"/>
      <c r="J611" s="40" t="n"/>
    </row>
    <row r="612">
      <c r="A612" s="16">
        <f>IF($B612="","",COUNTA($B$4:$B612))</f>
        <v/>
      </c>
      <c r="B612" s="71" t="n"/>
      <c r="C612" s="44" t="n"/>
      <c r="D612" s="45" t="n"/>
      <c r="E612" s="45" t="n"/>
      <c r="F612" s="45" t="n"/>
      <c r="G612" s="45" t="n"/>
      <c r="H612" s="45" t="n"/>
      <c r="I612" s="45" t="n"/>
      <c r="J612" s="38" t="n"/>
    </row>
    <row r="613">
      <c r="A613" s="16">
        <f>IF($B613="","",COUNTA($B$4:$B613))</f>
        <v/>
      </c>
      <c r="B613" s="72" t="n"/>
      <c r="C613" s="46" t="n"/>
      <c r="D613" s="47" t="n"/>
      <c r="E613" s="47" t="n"/>
      <c r="F613" s="47" t="n"/>
      <c r="G613" s="47" t="n"/>
      <c r="H613" s="47" t="n"/>
      <c r="I613" s="47" t="n"/>
      <c r="J613" s="40" t="n"/>
    </row>
    <row r="614">
      <c r="A614" s="16">
        <f>IF($B614="","",COUNTA($B$4:$B614))</f>
        <v/>
      </c>
      <c r="B614" s="71" t="n"/>
      <c r="C614" s="44" t="n"/>
      <c r="D614" s="45" t="n"/>
      <c r="E614" s="45" t="n"/>
      <c r="F614" s="45" t="n"/>
      <c r="G614" s="45" t="n"/>
      <c r="H614" s="45" t="n"/>
      <c r="I614" s="45" t="n"/>
      <c r="J614" s="38" t="n"/>
    </row>
    <row r="615">
      <c r="A615" s="16">
        <f>IF($B615="","",COUNTA($B$4:$B615))</f>
        <v/>
      </c>
      <c r="B615" s="72" t="n"/>
      <c r="C615" s="46" t="n"/>
      <c r="D615" s="47" t="n"/>
      <c r="E615" s="47" t="n"/>
      <c r="F615" s="47" t="n"/>
      <c r="G615" s="47" t="n"/>
      <c r="H615" s="47" t="n"/>
      <c r="I615" s="47" t="n"/>
      <c r="J615" s="40" t="n"/>
    </row>
    <row r="616">
      <c r="A616" s="16">
        <f>IF($B616="","",COUNTA($B$4:$B616))</f>
        <v/>
      </c>
      <c r="B616" s="71" t="n"/>
      <c r="C616" s="44" t="n"/>
      <c r="D616" s="45" t="n"/>
      <c r="E616" s="45" t="n"/>
      <c r="F616" s="45" t="n"/>
      <c r="G616" s="45" t="n"/>
      <c r="H616" s="45" t="n"/>
      <c r="I616" s="45" t="n"/>
      <c r="J616" s="38" t="n"/>
    </row>
    <row r="617">
      <c r="A617" s="16">
        <f>IF($B617="","",COUNTA($B$4:$B617))</f>
        <v/>
      </c>
      <c r="B617" s="72" t="n"/>
      <c r="C617" s="46" t="n"/>
      <c r="D617" s="47" t="n"/>
      <c r="E617" s="47" t="n"/>
      <c r="F617" s="47" t="n"/>
      <c r="G617" s="47" t="n"/>
      <c r="H617" s="47" t="n"/>
      <c r="I617" s="47" t="n"/>
      <c r="J617" s="40" t="n"/>
    </row>
    <row r="618">
      <c r="A618" s="16">
        <f>IF($B618="","",COUNTA($B$4:$B618))</f>
        <v/>
      </c>
      <c r="B618" s="71" t="n"/>
      <c r="C618" s="44" t="n"/>
      <c r="D618" s="45" t="n"/>
      <c r="E618" s="45" t="n"/>
      <c r="F618" s="45" t="n"/>
      <c r="G618" s="45" t="n"/>
      <c r="H618" s="45" t="n"/>
      <c r="I618" s="45" t="n"/>
      <c r="J618" s="38" t="n"/>
    </row>
    <row r="619">
      <c r="A619" s="16">
        <f>IF($B619="","",COUNTA($B$4:$B619))</f>
        <v/>
      </c>
      <c r="B619" s="72" t="n"/>
      <c r="C619" s="46" t="n"/>
      <c r="D619" s="47" t="n"/>
      <c r="E619" s="47" t="n"/>
      <c r="F619" s="47" t="n"/>
      <c r="G619" s="47" t="n"/>
      <c r="H619" s="47" t="n"/>
      <c r="I619" s="47" t="n"/>
      <c r="J619" s="40" t="n"/>
    </row>
    <row r="620">
      <c r="A620" s="16">
        <f>IF($B620="","",COUNTA($B$4:$B620))</f>
        <v/>
      </c>
      <c r="B620" s="71" t="n"/>
      <c r="C620" s="44" t="n"/>
      <c r="D620" s="45" t="n"/>
      <c r="E620" s="45" t="n"/>
      <c r="F620" s="45" t="n"/>
      <c r="G620" s="45" t="n"/>
      <c r="H620" s="45" t="n"/>
      <c r="I620" s="45" t="n"/>
      <c r="J620" s="38" t="n"/>
    </row>
    <row r="621">
      <c r="A621" s="16">
        <f>IF($B621="","",COUNTA($B$4:$B621))</f>
        <v/>
      </c>
      <c r="B621" s="72" t="n"/>
      <c r="C621" s="46" t="n"/>
      <c r="D621" s="47" t="n"/>
      <c r="E621" s="47" t="n"/>
      <c r="F621" s="47" t="n"/>
      <c r="G621" s="47" t="n"/>
      <c r="H621" s="47" t="n"/>
      <c r="I621" s="47" t="n"/>
      <c r="J621" s="40" t="n"/>
    </row>
    <row r="622">
      <c r="A622" s="16">
        <f>IF($B622="","",COUNTA($B$4:$B622))</f>
        <v/>
      </c>
      <c r="B622" s="71" t="n"/>
      <c r="C622" s="44" t="n"/>
      <c r="D622" s="45" t="n"/>
      <c r="E622" s="45" t="n"/>
      <c r="F622" s="45" t="n"/>
      <c r="G622" s="45" t="n"/>
      <c r="H622" s="45" t="n"/>
      <c r="I622" s="45" t="n"/>
      <c r="J622" s="38" t="n"/>
    </row>
    <row r="623">
      <c r="A623" s="16">
        <f>IF($B623="","",COUNTA($B$4:$B623))</f>
        <v/>
      </c>
      <c r="B623" s="72" t="n"/>
      <c r="C623" s="46" t="n"/>
      <c r="D623" s="47" t="n"/>
      <c r="E623" s="47" t="n"/>
      <c r="F623" s="47" t="n"/>
      <c r="G623" s="47" t="n"/>
      <c r="H623" s="47" t="n"/>
      <c r="I623" s="47" t="n"/>
      <c r="J623" s="40" t="n"/>
    </row>
    <row r="624">
      <c r="A624" s="16">
        <f>IF($B624="","",COUNTA($B$4:$B624))</f>
        <v/>
      </c>
      <c r="B624" s="71" t="n"/>
      <c r="C624" s="44" t="n"/>
      <c r="D624" s="45" t="n"/>
      <c r="E624" s="45" t="n"/>
      <c r="F624" s="45" t="n"/>
      <c r="G624" s="45" t="n"/>
      <c r="H624" s="45" t="n"/>
      <c r="I624" s="45" t="n"/>
      <c r="J624" s="38" t="n"/>
    </row>
    <row r="625">
      <c r="A625" s="16">
        <f>IF($B625="","",COUNTA($B$4:$B625))</f>
        <v/>
      </c>
      <c r="B625" s="72" t="n"/>
      <c r="C625" s="46" t="n"/>
      <c r="D625" s="47" t="n"/>
      <c r="E625" s="47" t="n"/>
      <c r="F625" s="47" t="n"/>
      <c r="G625" s="47" t="n"/>
      <c r="H625" s="47" t="n"/>
      <c r="I625" s="47" t="n"/>
      <c r="J625" s="40" t="n"/>
    </row>
    <row r="626">
      <c r="A626" s="16">
        <f>IF($B626="","",COUNTA($B$4:$B626))</f>
        <v/>
      </c>
      <c r="B626" s="71" t="n"/>
      <c r="C626" s="44" t="n"/>
      <c r="D626" s="45" t="n"/>
      <c r="E626" s="45" t="n"/>
      <c r="F626" s="45" t="n"/>
      <c r="G626" s="45" t="n"/>
      <c r="H626" s="45" t="n"/>
      <c r="I626" s="45" t="n"/>
      <c r="J626" s="38" t="n"/>
    </row>
    <row r="627">
      <c r="A627" s="16">
        <f>IF($B627="","",COUNTA($B$4:$B627))</f>
        <v/>
      </c>
      <c r="B627" s="72" t="n"/>
      <c r="C627" s="46" t="n"/>
      <c r="D627" s="47" t="n"/>
      <c r="E627" s="47" t="n"/>
      <c r="F627" s="47" t="n"/>
      <c r="G627" s="47" t="n"/>
      <c r="H627" s="47" t="n"/>
      <c r="I627" s="47" t="n"/>
      <c r="J627" s="40" t="n"/>
    </row>
    <row r="628">
      <c r="A628" s="16">
        <f>IF($B628="","",COUNTA($B$4:$B628))</f>
        <v/>
      </c>
      <c r="B628" s="71" t="n"/>
      <c r="C628" s="44" t="n"/>
      <c r="D628" s="45" t="n"/>
      <c r="E628" s="45" t="n"/>
      <c r="F628" s="45" t="n"/>
      <c r="G628" s="45" t="n"/>
      <c r="H628" s="45" t="n"/>
      <c r="I628" s="45" t="n"/>
      <c r="J628" s="38" t="n"/>
    </row>
    <row r="629">
      <c r="A629" s="16">
        <f>IF($B629="","",COUNTA($B$4:$B629))</f>
        <v/>
      </c>
      <c r="B629" s="72" t="n"/>
      <c r="C629" s="46" t="n"/>
      <c r="D629" s="47" t="n"/>
      <c r="E629" s="47" t="n"/>
      <c r="F629" s="47" t="n"/>
      <c r="G629" s="47" t="n"/>
      <c r="H629" s="47" t="n"/>
      <c r="I629" s="47" t="n"/>
      <c r="J629" s="40" t="n"/>
    </row>
    <row r="630">
      <c r="A630" s="16">
        <f>IF($B630="","",COUNTA($B$4:$B630))</f>
        <v/>
      </c>
      <c r="B630" s="71" t="n"/>
      <c r="C630" s="44" t="n"/>
      <c r="D630" s="45" t="n"/>
      <c r="E630" s="45" t="n"/>
      <c r="F630" s="45" t="n"/>
      <c r="G630" s="45" t="n"/>
      <c r="H630" s="45" t="n"/>
      <c r="I630" s="45" t="n"/>
      <c r="J630" s="38" t="n"/>
    </row>
    <row r="631">
      <c r="A631" s="16">
        <f>IF($B631="","",COUNTA($B$4:$B631))</f>
        <v/>
      </c>
      <c r="B631" s="72" t="n"/>
      <c r="C631" s="46" t="n"/>
      <c r="D631" s="47" t="n"/>
      <c r="E631" s="47" t="n"/>
      <c r="F631" s="47" t="n"/>
      <c r="G631" s="47" t="n"/>
      <c r="H631" s="47" t="n"/>
      <c r="I631" s="47" t="n"/>
      <c r="J631" s="40" t="n"/>
    </row>
    <row r="632">
      <c r="A632" s="16">
        <f>IF($B632="","",COUNTA($B$4:$B632))</f>
        <v/>
      </c>
      <c r="B632" s="71" t="n"/>
      <c r="C632" s="44" t="n"/>
      <c r="D632" s="45" t="n"/>
      <c r="E632" s="45" t="n"/>
      <c r="F632" s="45" t="n"/>
      <c r="G632" s="45" t="n"/>
      <c r="H632" s="45" t="n"/>
      <c r="I632" s="45" t="n"/>
      <c r="J632" s="38" t="n"/>
    </row>
    <row r="633">
      <c r="A633" s="16">
        <f>IF($B633="","",COUNTA($B$4:$B633))</f>
        <v/>
      </c>
      <c r="B633" s="72" t="n"/>
      <c r="C633" s="46" t="n"/>
      <c r="D633" s="47" t="n"/>
      <c r="E633" s="47" t="n"/>
      <c r="F633" s="47" t="n"/>
      <c r="G633" s="47" t="n"/>
      <c r="H633" s="47" t="n"/>
      <c r="I633" s="47" t="n"/>
      <c r="J633" s="40" t="n"/>
    </row>
    <row r="634">
      <c r="A634" s="16">
        <f>IF($B634="","",COUNTA($B$4:$B634))</f>
        <v/>
      </c>
      <c r="B634" s="71" t="n"/>
      <c r="C634" s="44" t="n"/>
      <c r="D634" s="45" t="n"/>
      <c r="E634" s="45" t="n"/>
      <c r="F634" s="45" t="n"/>
      <c r="G634" s="45" t="n"/>
      <c r="H634" s="45" t="n"/>
      <c r="I634" s="45" t="n"/>
      <c r="J634" s="38" t="n"/>
    </row>
    <row r="635">
      <c r="A635" s="16">
        <f>IF($B635="","",COUNTA($B$4:$B635))</f>
        <v/>
      </c>
      <c r="B635" s="72" t="n"/>
      <c r="C635" s="46" t="n"/>
      <c r="D635" s="47" t="n"/>
      <c r="E635" s="47" t="n"/>
      <c r="F635" s="47" t="n"/>
      <c r="G635" s="47" t="n"/>
      <c r="H635" s="47" t="n"/>
      <c r="I635" s="47" t="n"/>
      <c r="J635" s="40" t="n"/>
    </row>
    <row r="636">
      <c r="A636" s="16">
        <f>IF($B636="","",COUNTA($B$4:$B636))</f>
        <v/>
      </c>
      <c r="B636" s="71" t="n"/>
      <c r="C636" s="44" t="n"/>
      <c r="D636" s="45" t="n"/>
      <c r="E636" s="45" t="n"/>
      <c r="F636" s="45" t="n"/>
      <c r="G636" s="45" t="n"/>
      <c r="H636" s="45" t="n"/>
      <c r="I636" s="45" t="n"/>
      <c r="J636" s="38" t="n"/>
    </row>
    <row r="637">
      <c r="A637" s="16">
        <f>IF($B637="","",COUNTA($B$4:$B637))</f>
        <v/>
      </c>
      <c r="B637" s="72" t="n"/>
      <c r="C637" s="46" t="n"/>
      <c r="D637" s="47" t="n"/>
      <c r="E637" s="47" t="n"/>
      <c r="F637" s="47" t="n"/>
      <c r="G637" s="47" t="n"/>
      <c r="H637" s="47" t="n"/>
      <c r="I637" s="47" t="n"/>
      <c r="J637" s="40" t="n"/>
    </row>
    <row r="638">
      <c r="A638" s="16">
        <f>IF($B638="","",COUNTA($B$4:$B638))</f>
        <v/>
      </c>
      <c r="B638" s="71" t="n"/>
      <c r="C638" s="44" t="n"/>
      <c r="D638" s="45" t="n"/>
      <c r="E638" s="45" t="n"/>
      <c r="F638" s="45" t="n"/>
      <c r="G638" s="45" t="n"/>
      <c r="H638" s="45" t="n"/>
      <c r="I638" s="45" t="n"/>
      <c r="J638" s="38" t="n"/>
    </row>
    <row r="639">
      <c r="A639" s="16">
        <f>IF($B639="","",COUNTA($B$4:$B639))</f>
        <v/>
      </c>
      <c r="B639" s="72" t="n"/>
      <c r="C639" s="46" t="n"/>
      <c r="D639" s="47" t="n"/>
      <c r="E639" s="47" t="n"/>
      <c r="F639" s="47" t="n"/>
      <c r="G639" s="47" t="n"/>
      <c r="H639" s="47" t="n"/>
      <c r="I639" s="47" t="n"/>
      <c r="J639" s="40" t="n"/>
    </row>
    <row r="640">
      <c r="A640" s="16">
        <f>IF($B640="","",COUNTA($B$4:$B640))</f>
        <v/>
      </c>
      <c r="B640" s="71" t="n"/>
      <c r="C640" s="44" t="n"/>
      <c r="D640" s="45" t="n"/>
      <c r="E640" s="45" t="n"/>
      <c r="F640" s="45" t="n"/>
      <c r="G640" s="45" t="n"/>
      <c r="H640" s="45" t="n"/>
      <c r="I640" s="45" t="n"/>
      <c r="J640" s="38" t="n"/>
    </row>
    <row r="641">
      <c r="A641" s="16">
        <f>IF($B641="","",COUNTA($B$4:$B641))</f>
        <v/>
      </c>
      <c r="B641" s="72" t="n"/>
      <c r="C641" s="46" t="n"/>
      <c r="D641" s="47" t="n"/>
      <c r="E641" s="47" t="n"/>
      <c r="F641" s="47" t="n"/>
      <c r="G641" s="47" t="n"/>
      <c r="H641" s="47" t="n"/>
      <c r="I641" s="47" t="n"/>
      <c r="J641" s="40" t="n"/>
    </row>
    <row r="642">
      <c r="A642" s="16">
        <f>IF($B642="","",COUNTA($B$4:$B642))</f>
        <v/>
      </c>
      <c r="B642" s="71" t="n"/>
      <c r="C642" s="44" t="n"/>
      <c r="D642" s="45" t="n"/>
      <c r="E642" s="45" t="n"/>
      <c r="F642" s="45" t="n"/>
      <c r="G642" s="45" t="n"/>
      <c r="H642" s="45" t="n"/>
      <c r="I642" s="45" t="n"/>
      <c r="J642" s="38" t="n"/>
    </row>
    <row r="643">
      <c r="A643" s="16">
        <f>IF($B643="","",COUNTA($B$4:$B643))</f>
        <v/>
      </c>
      <c r="B643" s="72" t="n"/>
      <c r="C643" s="46" t="n"/>
      <c r="D643" s="47" t="n"/>
      <c r="E643" s="47" t="n"/>
      <c r="F643" s="47" t="n"/>
      <c r="G643" s="47" t="n"/>
      <c r="H643" s="47" t="n"/>
      <c r="I643" s="47" t="n"/>
      <c r="J643" s="40" t="n"/>
    </row>
    <row r="644">
      <c r="A644" s="16">
        <f>IF($B644="","",COUNTA($B$4:$B644))</f>
        <v/>
      </c>
      <c r="B644" s="71" t="n"/>
      <c r="C644" s="44" t="n"/>
      <c r="D644" s="45" t="n"/>
      <c r="E644" s="45" t="n"/>
      <c r="F644" s="45" t="n"/>
      <c r="G644" s="45" t="n"/>
      <c r="H644" s="45" t="n"/>
      <c r="I644" s="45" t="n"/>
      <c r="J644" s="38" t="n"/>
    </row>
    <row r="645">
      <c r="A645" s="16">
        <f>IF($B645="","",COUNTA($B$4:$B645))</f>
        <v/>
      </c>
      <c r="B645" s="72" t="n"/>
      <c r="C645" s="46" t="n"/>
      <c r="D645" s="47" t="n"/>
      <c r="E645" s="47" t="n"/>
      <c r="F645" s="47" t="n"/>
      <c r="G645" s="47" t="n"/>
      <c r="H645" s="47" t="n"/>
      <c r="I645" s="47" t="n"/>
      <c r="J645" s="40" t="n"/>
    </row>
    <row r="646">
      <c r="A646" s="16">
        <f>IF($B646="","",COUNTA($B$4:$B646))</f>
        <v/>
      </c>
      <c r="B646" s="71" t="n"/>
      <c r="C646" s="44" t="n"/>
      <c r="D646" s="45" t="n"/>
      <c r="E646" s="45" t="n"/>
      <c r="F646" s="45" t="n"/>
      <c r="G646" s="45" t="n"/>
      <c r="H646" s="45" t="n"/>
      <c r="I646" s="45" t="n"/>
      <c r="J646" s="38" t="n"/>
    </row>
    <row r="647">
      <c r="A647" s="16">
        <f>IF($B647="","",COUNTA($B$4:$B647))</f>
        <v/>
      </c>
      <c r="B647" s="72" t="n"/>
      <c r="C647" s="46" t="n"/>
      <c r="D647" s="47" t="n"/>
      <c r="E647" s="47" t="n"/>
      <c r="F647" s="47" t="n"/>
      <c r="G647" s="47" t="n"/>
      <c r="H647" s="47" t="n"/>
      <c r="I647" s="47" t="n"/>
      <c r="J647" s="40" t="n"/>
    </row>
    <row r="648">
      <c r="A648" s="16">
        <f>IF($B648="","",COUNTA($B$4:$B648))</f>
        <v/>
      </c>
      <c r="B648" s="71" t="n"/>
      <c r="C648" s="44" t="n"/>
      <c r="D648" s="45" t="n"/>
      <c r="E648" s="45" t="n"/>
      <c r="F648" s="45" t="n"/>
      <c r="G648" s="45" t="n"/>
      <c r="H648" s="45" t="n"/>
      <c r="I648" s="45" t="n"/>
      <c r="J648" s="38" t="n"/>
    </row>
    <row r="649">
      <c r="A649" s="16">
        <f>IF($B649="","",COUNTA($B$4:$B649))</f>
        <v/>
      </c>
      <c r="B649" s="72" t="n"/>
      <c r="C649" s="46" t="n"/>
      <c r="D649" s="47" t="n"/>
      <c r="E649" s="47" t="n"/>
      <c r="F649" s="47" t="n"/>
      <c r="G649" s="47" t="n"/>
      <c r="H649" s="47" t="n"/>
      <c r="I649" s="47" t="n"/>
      <c r="J649" s="40" t="n"/>
    </row>
    <row r="650">
      <c r="A650" s="16">
        <f>IF($B650="","",COUNTA($B$4:$B650))</f>
        <v/>
      </c>
      <c r="B650" s="71" t="n"/>
      <c r="C650" s="44" t="n"/>
      <c r="D650" s="45" t="n"/>
      <c r="E650" s="45" t="n"/>
      <c r="F650" s="45" t="n"/>
      <c r="G650" s="45" t="n"/>
      <c r="H650" s="45" t="n"/>
      <c r="I650" s="45" t="n"/>
      <c r="J650" s="38" t="n"/>
    </row>
    <row r="651">
      <c r="A651" s="16">
        <f>IF($B651="","",COUNTA($B$4:$B651))</f>
        <v/>
      </c>
      <c r="B651" s="72" t="n"/>
      <c r="C651" s="46" t="n"/>
      <c r="D651" s="47" t="n"/>
      <c r="E651" s="47" t="n"/>
      <c r="F651" s="47" t="n"/>
      <c r="G651" s="47" t="n"/>
      <c r="H651" s="47" t="n"/>
      <c r="I651" s="47" t="n"/>
      <c r="J651" s="40" t="n"/>
    </row>
    <row r="652">
      <c r="A652" s="16">
        <f>IF($B652="","",COUNTA($B$4:$B652))</f>
        <v/>
      </c>
      <c r="B652" s="71" t="n"/>
      <c r="C652" s="44" t="n"/>
      <c r="D652" s="45" t="n"/>
      <c r="E652" s="45" t="n"/>
      <c r="F652" s="45" t="n"/>
      <c r="G652" s="45" t="n"/>
      <c r="H652" s="45" t="n"/>
      <c r="I652" s="45" t="n"/>
      <c r="J652" s="38" t="n"/>
    </row>
    <row r="653">
      <c r="A653" s="16">
        <f>IF($B653="","",COUNTA($B$4:$B653))</f>
        <v/>
      </c>
      <c r="B653" s="72" t="n"/>
      <c r="C653" s="46" t="n"/>
      <c r="D653" s="47" t="n"/>
      <c r="E653" s="47" t="n"/>
      <c r="F653" s="47" t="n"/>
      <c r="G653" s="47" t="n"/>
      <c r="H653" s="47" t="n"/>
      <c r="I653" s="47" t="n"/>
      <c r="J653" s="40" t="n"/>
    </row>
    <row r="654">
      <c r="A654" s="16">
        <f>IF($B654="","",COUNTA($B$4:$B654))</f>
        <v/>
      </c>
      <c r="B654" s="71" t="n"/>
      <c r="C654" s="44" t="n"/>
      <c r="D654" s="45" t="n"/>
      <c r="E654" s="45" t="n"/>
      <c r="F654" s="45" t="n"/>
      <c r="G654" s="45" t="n"/>
      <c r="H654" s="45" t="n"/>
      <c r="I654" s="45" t="n"/>
      <c r="J654" s="38" t="n"/>
    </row>
    <row r="655">
      <c r="A655" s="16">
        <f>IF($B655="","",COUNTA($B$4:$B655))</f>
        <v/>
      </c>
      <c r="B655" s="72" t="n"/>
      <c r="C655" s="46" t="n"/>
      <c r="D655" s="47" t="n"/>
      <c r="E655" s="47" t="n"/>
      <c r="F655" s="47" t="n"/>
      <c r="G655" s="47" t="n"/>
      <c r="H655" s="47" t="n"/>
      <c r="I655" s="47" t="n"/>
      <c r="J655" s="40" t="n"/>
    </row>
    <row r="656">
      <c r="A656" s="16">
        <f>IF($B656="","",COUNTA($B$4:$B656))</f>
        <v/>
      </c>
      <c r="B656" s="71" t="n"/>
      <c r="C656" s="44" t="n"/>
      <c r="D656" s="45" t="n"/>
      <c r="E656" s="45" t="n"/>
      <c r="F656" s="45" t="n"/>
      <c r="G656" s="45" t="n"/>
      <c r="H656" s="45" t="n"/>
      <c r="I656" s="45" t="n"/>
      <c r="J656" s="38" t="n"/>
    </row>
    <row r="657">
      <c r="A657" s="16">
        <f>IF($B657="","",COUNTA($B$4:$B657))</f>
        <v/>
      </c>
      <c r="B657" s="72" t="n"/>
      <c r="C657" s="46" t="n"/>
      <c r="D657" s="47" t="n"/>
      <c r="E657" s="47" t="n"/>
      <c r="F657" s="47" t="n"/>
      <c r="G657" s="47" t="n"/>
      <c r="H657" s="47" t="n"/>
      <c r="I657" s="47" t="n"/>
      <c r="J657" s="40" t="n"/>
    </row>
    <row r="658">
      <c r="A658" s="16">
        <f>IF($B658="","",COUNTA($B$4:$B658))</f>
        <v/>
      </c>
      <c r="B658" s="71" t="n"/>
      <c r="C658" s="44" t="n"/>
      <c r="D658" s="45" t="n"/>
      <c r="E658" s="45" t="n"/>
      <c r="F658" s="45" t="n"/>
      <c r="G658" s="45" t="n"/>
      <c r="H658" s="45" t="n"/>
      <c r="I658" s="45" t="n"/>
      <c r="J658" s="38" t="n"/>
    </row>
    <row r="659">
      <c r="A659" s="16">
        <f>IF($B659="","",COUNTA($B$4:$B659))</f>
        <v/>
      </c>
      <c r="B659" s="72" t="n"/>
      <c r="C659" s="46" t="n"/>
      <c r="D659" s="47" t="n"/>
      <c r="E659" s="47" t="n"/>
      <c r="F659" s="47" t="n"/>
      <c r="G659" s="47" t="n"/>
      <c r="H659" s="47" t="n"/>
      <c r="I659" s="47" t="n"/>
      <c r="J659" s="40" t="n"/>
    </row>
    <row r="660">
      <c r="A660" s="16">
        <f>IF($B660="","",COUNTA($B$4:$B660))</f>
        <v/>
      </c>
      <c r="B660" s="71" t="n"/>
      <c r="C660" s="44" t="n"/>
      <c r="D660" s="45" t="n"/>
      <c r="E660" s="45" t="n"/>
      <c r="F660" s="45" t="n"/>
      <c r="G660" s="45" t="n"/>
      <c r="H660" s="45" t="n"/>
      <c r="I660" s="45" t="n"/>
      <c r="J660" s="38" t="n"/>
    </row>
    <row r="661">
      <c r="A661" s="16">
        <f>IF($B661="","",COUNTA($B$4:$B661))</f>
        <v/>
      </c>
      <c r="B661" s="72" t="n"/>
      <c r="C661" s="46" t="n"/>
      <c r="D661" s="47" t="n"/>
      <c r="E661" s="47" t="n"/>
      <c r="F661" s="47" t="n"/>
      <c r="G661" s="47" t="n"/>
      <c r="H661" s="47" t="n"/>
      <c r="I661" s="47" t="n"/>
      <c r="J661" s="40" t="n"/>
    </row>
    <row r="662">
      <c r="A662" s="16">
        <f>IF($B662="","",COUNTA($B$4:$B662))</f>
        <v/>
      </c>
      <c r="B662" s="71" t="n"/>
      <c r="C662" s="44" t="n"/>
      <c r="D662" s="45" t="n"/>
      <c r="E662" s="45" t="n"/>
      <c r="F662" s="45" t="n"/>
      <c r="G662" s="45" t="n"/>
      <c r="H662" s="45" t="n"/>
      <c r="I662" s="45" t="n"/>
      <c r="J662" s="38" t="n"/>
    </row>
    <row r="663">
      <c r="A663" s="16">
        <f>IF($B663="","",COUNTA($B$4:$B663))</f>
        <v/>
      </c>
      <c r="B663" s="72" t="n"/>
      <c r="C663" s="46" t="n"/>
      <c r="D663" s="47" t="n"/>
      <c r="E663" s="47" t="n"/>
      <c r="F663" s="47" t="n"/>
      <c r="G663" s="47" t="n"/>
      <c r="H663" s="47" t="n"/>
      <c r="I663" s="47" t="n"/>
      <c r="J663" s="40" t="n"/>
    </row>
    <row r="664">
      <c r="A664" s="16">
        <f>IF($B664="","",COUNTA($B$4:$B664))</f>
        <v/>
      </c>
      <c r="B664" s="71" t="n"/>
      <c r="C664" s="44" t="n"/>
      <c r="D664" s="45" t="n"/>
      <c r="E664" s="45" t="n"/>
      <c r="F664" s="45" t="n"/>
      <c r="G664" s="45" t="n"/>
      <c r="H664" s="45" t="n"/>
      <c r="I664" s="45" t="n"/>
      <c r="J664" s="38" t="n"/>
    </row>
    <row r="665">
      <c r="A665" s="16">
        <f>IF($B665="","",COUNTA($B$4:$B665))</f>
        <v/>
      </c>
      <c r="B665" s="72" t="n"/>
      <c r="C665" s="46" t="n"/>
      <c r="D665" s="47" t="n"/>
      <c r="E665" s="47" t="n"/>
      <c r="F665" s="47" t="n"/>
      <c r="G665" s="47" t="n"/>
      <c r="H665" s="47" t="n"/>
      <c r="I665" s="47" t="n"/>
      <c r="J665" s="40" t="n"/>
    </row>
    <row r="666">
      <c r="A666" s="16">
        <f>IF($B666="","",COUNTA($B$4:$B666))</f>
        <v/>
      </c>
      <c r="B666" s="71" t="n"/>
      <c r="C666" s="44" t="n"/>
      <c r="D666" s="45" t="n"/>
      <c r="E666" s="45" t="n"/>
      <c r="F666" s="45" t="n"/>
      <c r="G666" s="45" t="n"/>
      <c r="H666" s="45" t="n"/>
      <c r="I666" s="45" t="n"/>
      <c r="J666" s="38" t="n"/>
    </row>
    <row r="667">
      <c r="A667" s="16">
        <f>IF($B667="","",COUNTA($B$4:$B667))</f>
        <v/>
      </c>
      <c r="B667" s="72" t="n"/>
      <c r="C667" s="46" t="n"/>
      <c r="D667" s="47" t="n"/>
      <c r="E667" s="47" t="n"/>
      <c r="F667" s="47" t="n"/>
      <c r="G667" s="47" t="n"/>
      <c r="H667" s="47" t="n"/>
      <c r="I667" s="47" t="n"/>
      <c r="J667" s="40" t="n"/>
    </row>
    <row r="668">
      <c r="A668" s="16">
        <f>IF($B668="","",COUNTA($B$4:$B668))</f>
        <v/>
      </c>
      <c r="B668" s="71" t="n"/>
      <c r="C668" s="44" t="n"/>
      <c r="D668" s="45" t="n"/>
      <c r="E668" s="45" t="n"/>
      <c r="F668" s="45" t="n"/>
      <c r="G668" s="45" t="n"/>
      <c r="H668" s="45" t="n"/>
      <c r="I668" s="45" t="n"/>
      <c r="J668" s="38" t="n"/>
    </row>
    <row r="669">
      <c r="A669" s="16">
        <f>IF($B669="","",COUNTA($B$4:$B669))</f>
        <v/>
      </c>
      <c r="B669" s="72" t="n"/>
      <c r="C669" s="46" t="n"/>
      <c r="D669" s="47" t="n"/>
      <c r="E669" s="47" t="n"/>
      <c r="F669" s="47" t="n"/>
      <c r="G669" s="47" t="n"/>
      <c r="H669" s="47" t="n"/>
      <c r="I669" s="47" t="n"/>
      <c r="J669" s="40" t="n"/>
    </row>
    <row r="670">
      <c r="A670" s="16">
        <f>IF($B670="","",COUNTA($B$4:$B670))</f>
        <v/>
      </c>
      <c r="B670" s="71" t="n"/>
      <c r="C670" s="44" t="n"/>
      <c r="D670" s="45" t="n"/>
      <c r="E670" s="45" t="n"/>
      <c r="F670" s="45" t="n"/>
      <c r="G670" s="45" t="n"/>
      <c r="H670" s="45" t="n"/>
      <c r="I670" s="45" t="n"/>
      <c r="J670" s="38" t="n"/>
    </row>
    <row r="671">
      <c r="A671" s="16">
        <f>IF($B671="","",COUNTA($B$4:$B671))</f>
        <v/>
      </c>
      <c r="B671" s="72" t="n"/>
      <c r="C671" s="46" t="n"/>
      <c r="D671" s="47" t="n"/>
      <c r="E671" s="47" t="n"/>
      <c r="F671" s="47" t="n"/>
      <c r="G671" s="47" t="n"/>
      <c r="H671" s="47" t="n"/>
      <c r="I671" s="47" t="n"/>
      <c r="J671" s="40" t="n"/>
    </row>
    <row r="672">
      <c r="A672" s="16">
        <f>IF($B672="","",COUNTA($B$4:$B672))</f>
        <v/>
      </c>
      <c r="B672" s="71" t="n"/>
      <c r="C672" s="44" t="n"/>
      <c r="D672" s="45" t="n"/>
      <c r="E672" s="45" t="n"/>
      <c r="F672" s="45" t="n"/>
      <c r="G672" s="45" t="n"/>
      <c r="H672" s="45" t="n"/>
      <c r="I672" s="45" t="n"/>
      <c r="J672" s="38" t="n"/>
    </row>
    <row r="673">
      <c r="A673" s="16">
        <f>IF($B673="","",COUNTA($B$4:$B673))</f>
        <v/>
      </c>
      <c r="B673" s="72" t="n"/>
      <c r="C673" s="46" t="n"/>
      <c r="D673" s="47" t="n"/>
      <c r="E673" s="47" t="n"/>
      <c r="F673" s="47" t="n"/>
      <c r="G673" s="47" t="n"/>
      <c r="H673" s="47" t="n"/>
      <c r="I673" s="47" t="n"/>
      <c r="J673" s="40" t="n"/>
    </row>
    <row r="674">
      <c r="A674" s="16">
        <f>IF($B674="","",COUNTA($B$4:$B674))</f>
        <v/>
      </c>
      <c r="B674" s="71" t="n"/>
      <c r="C674" s="44" t="n"/>
      <c r="D674" s="45" t="n"/>
      <c r="E674" s="45" t="n"/>
      <c r="F674" s="45" t="n"/>
      <c r="G674" s="45" t="n"/>
      <c r="H674" s="45" t="n"/>
      <c r="I674" s="45" t="n"/>
      <c r="J674" s="38" t="n"/>
    </row>
    <row r="675">
      <c r="A675" s="16">
        <f>IF($B675="","",COUNTA($B$4:$B675))</f>
        <v/>
      </c>
      <c r="B675" s="72" t="n"/>
      <c r="C675" s="46" t="n"/>
      <c r="D675" s="47" t="n"/>
      <c r="E675" s="47" t="n"/>
      <c r="F675" s="47" t="n"/>
      <c r="G675" s="47" t="n"/>
      <c r="H675" s="47" t="n"/>
      <c r="I675" s="47" t="n"/>
      <c r="J675" s="40" t="n"/>
    </row>
    <row r="676">
      <c r="A676" s="16">
        <f>IF($B676="","",COUNTA($B$4:$B676))</f>
        <v/>
      </c>
      <c r="B676" s="71" t="n"/>
      <c r="C676" s="44" t="n"/>
      <c r="D676" s="45" t="n"/>
      <c r="E676" s="45" t="n"/>
      <c r="F676" s="45" t="n"/>
      <c r="G676" s="45" t="n"/>
      <c r="H676" s="45" t="n"/>
      <c r="I676" s="45" t="n"/>
      <c r="J676" s="38" t="n"/>
    </row>
    <row r="677">
      <c r="A677" s="16">
        <f>IF($B677="","",COUNTA($B$4:$B677))</f>
        <v/>
      </c>
      <c r="B677" s="72" t="n"/>
      <c r="C677" s="46" t="n"/>
      <c r="D677" s="47" t="n"/>
      <c r="E677" s="47" t="n"/>
      <c r="F677" s="47" t="n"/>
      <c r="G677" s="47" t="n"/>
      <c r="H677" s="47" t="n"/>
      <c r="I677" s="47" t="n"/>
      <c r="J677" s="40" t="n"/>
    </row>
    <row r="678">
      <c r="A678" s="16">
        <f>IF($B678="","",COUNTA($B$4:$B678))</f>
        <v/>
      </c>
      <c r="B678" s="71" t="n"/>
      <c r="C678" s="44" t="n"/>
      <c r="D678" s="45" t="n"/>
      <c r="E678" s="45" t="n"/>
      <c r="F678" s="45" t="n"/>
      <c r="G678" s="45" t="n"/>
      <c r="H678" s="45" t="n"/>
      <c r="I678" s="45" t="n"/>
      <c r="J678" s="38" t="n"/>
    </row>
    <row r="679">
      <c r="A679" s="16">
        <f>IF($B679="","",COUNTA($B$4:$B679))</f>
        <v/>
      </c>
      <c r="B679" s="72" t="n"/>
      <c r="C679" s="46" t="n"/>
      <c r="D679" s="47" t="n"/>
      <c r="E679" s="47" t="n"/>
      <c r="F679" s="47" t="n"/>
      <c r="G679" s="47" t="n"/>
      <c r="H679" s="47" t="n"/>
      <c r="I679" s="47" t="n"/>
      <c r="J679" s="40" t="n"/>
    </row>
    <row r="680">
      <c r="A680" s="16">
        <f>IF($B680="","",COUNTA($B$4:$B680))</f>
        <v/>
      </c>
      <c r="B680" s="71" t="n"/>
      <c r="C680" s="44" t="n"/>
      <c r="D680" s="45" t="n"/>
      <c r="E680" s="45" t="n"/>
      <c r="F680" s="45" t="n"/>
      <c r="G680" s="45" t="n"/>
      <c r="H680" s="45" t="n"/>
      <c r="I680" s="45" t="n"/>
      <c r="J680" s="38" t="n"/>
    </row>
    <row r="681">
      <c r="A681" s="16">
        <f>IF($B681="","",COUNTA($B$4:$B681))</f>
        <v/>
      </c>
      <c r="B681" s="72" t="n"/>
      <c r="C681" s="46" t="n"/>
      <c r="D681" s="47" t="n"/>
      <c r="E681" s="47" t="n"/>
      <c r="F681" s="47" t="n"/>
      <c r="G681" s="47" t="n"/>
      <c r="H681" s="47" t="n"/>
      <c r="I681" s="47" t="n"/>
      <c r="J681" s="40" t="n"/>
    </row>
    <row r="682">
      <c r="A682" s="16">
        <f>IF($B682="","",COUNTA($B$4:$B682))</f>
        <v/>
      </c>
      <c r="B682" s="71" t="n"/>
      <c r="C682" s="44" t="n"/>
      <c r="D682" s="45" t="n"/>
      <c r="E682" s="45" t="n"/>
      <c r="F682" s="45" t="n"/>
      <c r="G682" s="45" t="n"/>
      <c r="H682" s="45" t="n"/>
      <c r="I682" s="45" t="n"/>
      <c r="J682" s="38" t="n"/>
    </row>
    <row r="683">
      <c r="A683" s="16">
        <f>IF($B683="","",COUNTA($B$4:$B683))</f>
        <v/>
      </c>
      <c r="B683" s="72" t="n"/>
      <c r="C683" s="46" t="n"/>
      <c r="D683" s="47" t="n"/>
      <c r="E683" s="47" t="n"/>
      <c r="F683" s="47" t="n"/>
      <c r="G683" s="47" t="n"/>
      <c r="H683" s="47" t="n"/>
      <c r="I683" s="47" t="n"/>
      <c r="J683" s="40" t="n"/>
    </row>
    <row r="684">
      <c r="A684" s="16">
        <f>IF($B684="","",COUNTA($B$4:$B684))</f>
        <v/>
      </c>
      <c r="B684" s="71" t="n"/>
      <c r="C684" s="44" t="n"/>
      <c r="D684" s="45" t="n"/>
      <c r="E684" s="45" t="n"/>
      <c r="F684" s="45" t="n"/>
      <c r="G684" s="45" t="n"/>
      <c r="H684" s="45" t="n"/>
      <c r="I684" s="45" t="n"/>
      <c r="J684" s="38" t="n"/>
    </row>
    <row r="685">
      <c r="A685" s="16">
        <f>IF($B685="","",COUNTA($B$4:$B685))</f>
        <v/>
      </c>
      <c r="B685" s="72" t="n"/>
      <c r="C685" s="46" t="n"/>
      <c r="D685" s="47" t="n"/>
      <c r="E685" s="47" t="n"/>
      <c r="F685" s="47" t="n"/>
      <c r="G685" s="47" t="n"/>
      <c r="H685" s="47" t="n"/>
      <c r="I685" s="47" t="n"/>
      <c r="J685" s="40" t="n"/>
    </row>
    <row r="686">
      <c r="A686" s="16">
        <f>IF($B686="","",COUNTA($B$4:$B686))</f>
        <v/>
      </c>
      <c r="B686" s="71" t="n"/>
      <c r="C686" s="44" t="n"/>
      <c r="D686" s="45" t="n"/>
      <c r="E686" s="45" t="n"/>
      <c r="F686" s="45" t="n"/>
      <c r="G686" s="45" t="n"/>
      <c r="H686" s="45" t="n"/>
      <c r="I686" s="45" t="n"/>
      <c r="J686" s="38" t="n"/>
    </row>
    <row r="687">
      <c r="A687" s="16">
        <f>IF($B687="","",COUNTA($B$4:$B687))</f>
        <v/>
      </c>
      <c r="B687" s="72" t="n"/>
      <c r="C687" s="46" t="n"/>
      <c r="D687" s="47" t="n"/>
      <c r="E687" s="47" t="n"/>
      <c r="F687" s="47" t="n"/>
      <c r="G687" s="47" t="n"/>
      <c r="H687" s="47" t="n"/>
      <c r="I687" s="47" t="n"/>
      <c r="J687" s="40" t="n"/>
    </row>
    <row r="688">
      <c r="A688" s="16">
        <f>IF($B688="","",COUNTA($B$4:$B688))</f>
        <v/>
      </c>
      <c r="B688" s="71" t="n"/>
      <c r="C688" s="44" t="n"/>
      <c r="D688" s="45" t="n"/>
      <c r="E688" s="45" t="n"/>
      <c r="F688" s="45" t="n"/>
      <c r="G688" s="45" t="n"/>
      <c r="H688" s="45" t="n"/>
      <c r="I688" s="45" t="n"/>
      <c r="J688" s="38" t="n"/>
    </row>
    <row r="689">
      <c r="A689" s="16">
        <f>IF($B689="","",COUNTA($B$4:$B689))</f>
        <v/>
      </c>
      <c r="B689" s="72" t="n"/>
      <c r="C689" s="46" t="n"/>
      <c r="D689" s="47" t="n"/>
      <c r="E689" s="47" t="n"/>
      <c r="F689" s="47" t="n"/>
      <c r="G689" s="47" t="n"/>
      <c r="H689" s="47" t="n"/>
      <c r="I689" s="47" t="n"/>
      <c r="J689" s="40" t="n"/>
    </row>
    <row r="690">
      <c r="A690" s="16">
        <f>IF($B690="","",COUNTA($B$4:$B690))</f>
        <v/>
      </c>
      <c r="B690" s="71" t="n"/>
      <c r="C690" s="44" t="n"/>
      <c r="D690" s="45" t="n"/>
      <c r="E690" s="45" t="n"/>
      <c r="F690" s="45" t="n"/>
      <c r="G690" s="45" t="n"/>
      <c r="H690" s="45" t="n"/>
      <c r="I690" s="45" t="n"/>
      <c r="J690" s="38" t="n"/>
    </row>
    <row r="691">
      <c r="A691" s="16">
        <f>IF($B691="","",COUNTA($B$4:$B691))</f>
        <v/>
      </c>
      <c r="B691" s="72" t="n"/>
      <c r="C691" s="46" t="n"/>
      <c r="D691" s="47" t="n"/>
      <c r="E691" s="47" t="n"/>
      <c r="F691" s="47" t="n"/>
      <c r="G691" s="47" t="n"/>
      <c r="H691" s="47" t="n"/>
      <c r="I691" s="47" t="n"/>
      <c r="J691" s="40" t="n"/>
    </row>
    <row r="692">
      <c r="A692" s="16">
        <f>IF($B692="","",COUNTA($B$4:$B692))</f>
        <v/>
      </c>
      <c r="B692" s="71" t="n"/>
      <c r="C692" s="44" t="n"/>
      <c r="D692" s="45" t="n"/>
      <c r="E692" s="45" t="n"/>
      <c r="F692" s="45" t="n"/>
      <c r="G692" s="45" t="n"/>
      <c r="H692" s="45" t="n"/>
      <c r="I692" s="45" t="n"/>
      <c r="J692" s="38" t="n"/>
    </row>
    <row r="693">
      <c r="A693" s="16">
        <f>IF($B693="","",COUNTA($B$4:$B693))</f>
        <v/>
      </c>
      <c r="B693" s="72" t="n"/>
      <c r="C693" s="46" t="n"/>
      <c r="D693" s="47" t="n"/>
      <c r="E693" s="47" t="n"/>
      <c r="F693" s="47" t="n"/>
      <c r="G693" s="47" t="n"/>
      <c r="H693" s="47" t="n"/>
      <c r="I693" s="47" t="n"/>
      <c r="J693" s="40" t="n"/>
    </row>
    <row r="694">
      <c r="A694" s="16">
        <f>IF($B694="","",COUNTA($B$4:$B694))</f>
        <v/>
      </c>
      <c r="B694" s="71" t="n"/>
      <c r="C694" s="44" t="n"/>
      <c r="D694" s="45" t="n"/>
      <c r="E694" s="45" t="n"/>
      <c r="F694" s="45" t="n"/>
      <c r="G694" s="45" t="n"/>
      <c r="H694" s="45" t="n"/>
      <c r="I694" s="45" t="n"/>
      <c r="J694" s="38" t="n"/>
    </row>
    <row r="695">
      <c r="A695" s="16">
        <f>IF($B695="","",COUNTA($B$4:$B695))</f>
        <v/>
      </c>
      <c r="B695" s="72" t="n"/>
      <c r="C695" s="46" t="n"/>
      <c r="D695" s="47" t="n"/>
      <c r="E695" s="47" t="n"/>
      <c r="F695" s="47" t="n"/>
      <c r="G695" s="47" t="n"/>
      <c r="H695" s="47" t="n"/>
      <c r="I695" s="47" t="n"/>
      <c r="J695" s="40" t="n"/>
    </row>
    <row r="696">
      <c r="A696" s="16">
        <f>IF($B696="","",COUNTA($B$4:$B696))</f>
        <v/>
      </c>
      <c r="B696" s="71" t="n"/>
      <c r="C696" s="44" t="n"/>
      <c r="D696" s="45" t="n"/>
      <c r="E696" s="45" t="n"/>
      <c r="F696" s="45" t="n"/>
      <c r="G696" s="45" t="n"/>
      <c r="H696" s="45" t="n"/>
      <c r="I696" s="45" t="n"/>
      <c r="J696" s="38" t="n"/>
    </row>
    <row r="697">
      <c r="A697" s="16">
        <f>IF($B697="","",COUNTA($B$4:$B697))</f>
        <v/>
      </c>
      <c r="B697" s="72" t="n"/>
      <c r="C697" s="46" t="n"/>
      <c r="D697" s="47" t="n"/>
      <c r="E697" s="47" t="n"/>
      <c r="F697" s="47" t="n"/>
      <c r="G697" s="47" t="n"/>
      <c r="H697" s="47" t="n"/>
      <c r="I697" s="47" t="n"/>
      <c r="J697" s="40" t="n"/>
    </row>
    <row r="698">
      <c r="A698" s="16">
        <f>IF($B698="","",COUNTA($B$4:$B698))</f>
        <v/>
      </c>
      <c r="B698" s="71" t="n"/>
      <c r="C698" s="44" t="n"/>
      <c r="D698" s="45" t="n"/>
      <c r="E698" s="45" t="n"/>
      <c r="F698" s="45" t="n"/>
      <c r="G698" s="45" t="n"/>
      <c r="H698" s="45" t="n"/>
      <c r="I698" s="45" t="n"/>
      <c r="J698" s="38" t="n"/>
    </row>
    <row r="699">
      <c r="A699" s="16">
        <f>IF($B699="","",COUNTA($B$4:$B699))</f>
        <v/>
      </c>
      <c r="B699" s="72" t="n"/>
      <c r="C699" s="46" t="n"/>
      <c r="D699" s="47" t="n"/>
      <c r="E699" s="47" t="n"/>
      <c r="F699" s="47" t="n"/>
      <c r="G699" s="47" t="n"/>
      <c r="H699" s="47" t="n"/>
      <c r="I699" s="47" t="n"/>
      <c r="J699" s="40" t="n"/>
    </row>
    <row r="700">
      <c r="A700" s="16">
        <f>IF($B700="","",COUNTA($B$4:$B700))</f>
        <v/>
      </c>
      <c r="B700" s="71" t="n"/>
      <c r="C700" s="44" t="n"/>
      <c r="D700" s="45" t="n"/>
      <c r="E700" s="45" t="n"/>
      <c r="F700" s="45" t="n"/>
      <c r="G700" s="45" t="n"/>
      <c r="H700" s="45" t="n"/>
      <c r="I700" s="45" t="n"/>
      <c r="J700" s="38" t="n"/>
    </row>
    <row r="701">
      <c r="A701" s="16">
        <f>IF($B701="","",COUNTA($B$4:$B701))</f>
        <v/>
      </c>
      <c r="B701" s="72" t="n"/>
      <c r="C701" s="46" t="n"/>
      <c r="D701" s="47" t="n"/>
      <c r="E701" s="47" t="n"/>
      <c r="F701" s="47" t="n"/>
      <c r="G701" s="47" t="n"/>
      <c r="H701" s="47" t="n"/>
      <c r="I701" s="47" t="n"/>
      <c r="J701" s="40" t="n"/>
    </row>
    <row r="702">
      <c r="A702" s="16">
        <f>IF($B702="","",COUNTA($B$4:$B702))</f>
        <v/>
      </c>
      <c r="B702" s="71" t="n"/>
      <c r="C702" s="44" t="n"/>
      <c r="D702" s="45" t="n"/>
      <c r="E702" s="45" t="n"/>
      <c r="F702" s="45" t="n"/>
      <c r="G702" s="45" t="n"/>
      <c r="H702" s="45" t="n"/>
      <c r="I702" s="45" t="n"/>
      <c r="J702" s="38" t="n"/>
    </row>
    <row r="703">
      <c r="A703" s="16">
        <f>IF($B703="","",COUNTA($B$4:$B703))</f>
        <v/>
      </c>
      <c r="B703" s="72" t="n"/>
      <c r="C703" s="46" t="n"/>
      <c r="D703" s="47" t="n"/>
      <c r="E703" s="47" t="n"/>
      <c r="F703" s="47" t="n"/>
      <c r="G703" s="47" t="n"/>
      <c r="H703" s="47" t="n"/>
      <c r="I703" s="47" t="n"/>
      <c r="J703" s="40" t="n"/>
    </row>
    <row r="704">
      <c r="A704" s="16">
        <f>IF($B704="","",COUNTA($B$4:$B704))</f>
        <v/>
      </c>
      <c r="B704" s="71" t="n"/>
      <c r="C704" s="44" t="n"/>
      <c r="D704" s="45" t="n"/>
      <c r="E704" s="45" t="n"/>
      <c r="F704" s="45" t="n"/>
      <c r="G704" s="45" t="n"/>
      <c r="H704" s="45" t="n"/>
      <c r="I704" s="45" t="n"/>
      <c r="J704" s="38" t="n"/>
    </row>
    <row r="705">
      <c r="A705" s="16">
        <f>IF($B705="","",COUNTA($B$4:$B705))</f>
        <v/>
      </c>
      <c r="B705" s="72" t="n"/>
      <c r="C705" s="46" t="n"/>
      <c r="D705" s="47" t="n"/>
      <c r="E705" s="47" t="n"/>
      <c r="F705" s="47" t="n"/>
      <c r="G705" s="47" t="n"/>
      <c r="H705" s="47" t="n"/>
      <c r="I705" s="47" t="n"/>
      <c r="J705" s="40" t="n"/>
    </row>
    <row r="706">
      <c r="A706" s="16">
        <f>IF($B706="","",COUNTA($B$4:$B706))</f>
        <v/>
      </c>
      <c r="B706" s="71" t="n"/>
      <c r="C706" s="44" t="n"/>
      <c r="D706" s="45" t="n"/>
      <c r="E706" s="45" t="n"/>
      <c r="F706" s="45" t="n"/>
      <c r="G706" s="45" t="n"/>
      <c r="H706" s="45" t="n"/>
      <c r="I706" s="45" t="n"/>
      <c r="J706" s="38" t="n"/>
    </row>
    <row r="707">
      <c r="A707" s="16">
        <f>IF($B707="","",COUNTA($B$4:$B707))</f>
        <v/>
      </c>
      <c r="B707" s="72" t="n"/>
      <c r="C707" s="46" t="n"/>
      <c r="D707" s="47" t="n"/>
      <c r="E707" s="47" t="n"/>
      <c r="F707" s="47" t="n"/>
      <c r="G707" s="47" t="n"/>
      <c r="H707" s="47" t="n"/>
      <c r="I707" s="47" t="n"/>
      <c r="J707" s="40" t="n"/>
    </row>
    <row r="708">
      <c r="A708" s="16">
        <f>IF($B708="","",COUNTA($B$4:$B708))</f>
        <v/>
      </c>
      <c r="B708" s="71" t="n"/>
      <c r="C708" s="44" t="n"/>
      <c r="D708" s="45" t="n"/>
      <c r="E708" s="45" t="n"/>
      <c r="F708" s="45" t="n"/>
      <c r="G708" s="45" t="n"/>
      <c r="H708" s="45" t="n"/>
      <c r="I708" s="45" t="n"/>
      <c r="J708" s="38" t="n"/>
    </row>
    <row r="709">
      <c r="A709" s="16">
        <f>IF($B709="","",COUNTA($B$4:$B709))</f>
        <v/>
      </c>
      <c r="B709" s="72" t="n"/>
      <c r="C709" s="46" t="n"/>
      <c r="D709" s="47" t="n"/>
      <c r="E709" s="47" t="n"/>
      <c r="F709" s="47" t="n"/>
      <c r="G709" s="47" t="n"/>
      <c r="H709" s="47" t="n"/>
      <c r="I709" s="47" t="n"/>
      <c r="J709" s="40" t="n"/>
    </row>
    <row r="710">
      <c r="A710" s="16">
        <f>IF($B710="","",COUNTA($B$4:$B710))</f>
        <v/>
      </c>
      <c r="B710" s="71" t="n"/>
      <c r="C710" s="44" t="n"/>
      <c r="D710" s="45" t="n"/>
      <c r="E710" s="45" t="n"/>
      <c r="F710" s="45" t="n"/>
      <c r="G710" s="45" t="n"/>
      <c r="H710" s="45" t="n"/>
      <c r="I710" s="45" t="n"/>
      <c r="J710" s="38" t="n"/>
    </row>
    <row r="711">
      <c r="A711" s="16">
        <f>IF($B711="","",COUNTA($B$4:$B711))</f>
        <v/>
      </c>
      <c r="B711" s="72" t="n"/>
      <c r="C711" s="46" t="n"/>
      <c r="D711" s="47" t="n"/>
      <c r="E711" s="47" t="n"/>
      <c r="F711" s="47" t="n"/>
      <c r="G711" s="47" t="n"/>
      <c r="H711" s="47" t="n"/>
      <c r="I711" s="47" t="n"/>
      <c r="J711" s="40" t="n"/>
    </row>
    <row r="712">
      <c r="A712" s="16">
        <f>IF($B712="","",COUNTA($B$4:$B712))</f>
        <v/>
      </c>
      <c r="B712" s="71" t="n"/>
      <c r="C712" s="44" t="n"/>
      <c r="D712" s="45" t="n"/>
      <c r="E712" s="45" t="n"/>
      <c r="F712" s="45" t="n"/>
      <c r="G712" s="45" t="n"/>
      <c r="H712" s="45" t="n"/>
      <c r="I712" s="45" t="n"/>
      <c r="J712" s="38" t="n"/>
    </row>
    <row r="713">
      <c r="A713" s="16">
        <f>IF($B713="","",COUNTA($B$4:$B713))</f>
        <v/>
      </c>
      <c r="B713" s="72" t="n"/>
      <c r="C713" s="46" t="n"/>
      <c r="D713" s="47" t="n"/>
      <c r="E713" s="47" t="n"/>
      <c r="F713" s="47" t="n"/>
      <c r="G713" s="47" t="n"/>
      <c r="H713" s="47" t="n"/>
      <c r="I713" s="47" t="n"/>
      <c r="J713" s="40" t="n"/>
    </row>
    <row r="714">
      <c r="A714" s="16">
        <f>IF($B714="","",COUNTA($B$4:$B714))</f>
        <v/>
      </c>
      <c r="B714" s="71" t="n"/>
      <c r="C714" s="44" t="n"/>
      <c r="D714" s="45" t="n"/>
      <c r="E714" s="45" t="n"/>
      <c r="F714" s="45" t="n"/>
      <c r="G714" s="45" t="n"/>
      <c r="H714" s="45" t="n"/>
      <c r="I714" s="45" t="n"/>
      <c r="J714" s="38" t="n"/>
    </row>
    <row r="715">
      <c r="A715" s="16">
        <f>IF($B715="","",COUNTA($B$4:$B715))</f>
        <v/>
      </c>
      <c r="B715" s="72" t="n"/>
      <c r="C715" s="46" t="n"/>
      <c r="D715" s="47" t="n"/>
      <c r="E715" s="47" t="n"/>
      <c r="F715" s="47" t="n"/>
      <c r="G715" s="47" t="n"/>
      <c r="H715" s="47" t="n"/>
      <c r="I715" s="47" t="n"/>
      <c r="J715" s="40" t="n"/>
    </row>
    <row r="716">
      <c r="A716" s="16">
        <f>IF($B716="","",COUNTA($B$4:$B716))</f>
        <v/>
      </c>
      <c r="B716" s="71" t="n"/>
      <c r="C716" s="44" t="n"/>
      <c r="D716" s="45" t="n"/>
      <c r="E716" s="45" t="n"/>
      <c r="F716" s="45" t="n"/>
      <c r="G716" s="45" t="n"/>
      <c r="H716" s="45" t="n"/>
      <c r="I716" s="45" t="n"/>
      <c r="J716" s="38" t="n"/>
    </row>
    <row r="717">
      <c r="A717" s="16">
        <f>IF($B717="","",COUNTA($B$4:$B717))</f>
        <v/>
      </c>
      <c r="B717" s="72" t="n"/>
      <c r="C717" s="46" t="n"/>
      <c r="D717" s="47" t="n"/>
      <c r="E717" s="47" t="n"/>
      <c r="F717" s="47" t="n"/>
      <c r="G717" s="47" t="n"/>
      <c r="H717" s="47" t="n"/>
      <c r="I717" s="47" t="n"/>
      <c r="J717" s="40" t="n"/>
    </row>
    <row r="718">
      <c r="A718" s="16">
        <f>IF($B718="","",COUNTA($B$4:$B718))</f>
        <v/>
      </c>
      <c r="B718" s="71" t="n"/>
      <c r="C718" s="44" t="n"/>
      <c r="D718" s="45" t="n"/>
      <c r="E718" s="45" t="n"/>
      <c r="F718" s="45" t="n"/>
      <c r="G718" s="45" t="n"/>
      <c r="H718" s="45" t="n"/>
      <c r="I718" s="45" t="n"/>
      <c r="J718" s="38" t="n"/>
    </row>
    <row r="719">
      <c r="A719" s="16">
        <f>IF($B719="","",COUNTA($B$4:$B719))</f>
        <v/>
      </c>
      <c r="B719" s="72" t="n"/>
      <c r="C719" s="46" t="n"/>
      <c r="D719" s="47" t="n"/>
      <c r="E719" s="47" t="n"/>
      <c r="F719" s="47" t="n"/>
      <c r="G719" s="47" t="n"/>
      <c r="H719" s="47" t="n"/>
      <c r="I719" s="47" t="n"/>
      <c r="J719" s="40" t="n"/>
    </row>
    <row r="720">
      <c r="A720" s="16">
        <f>IF($B720="","",COUNTA($B$4:$B720))</f>
        <v/>
      </c>
      <c r="B720" s="71" t="n"/>
      <c r="C720" s="44" t="n"/>
      <c r="D720" s="45" t="n"/>
      <c r="E720" s="45" t="n"/>
      <c r="F720" s="45" t="n"/>
      <c r="G720" s="45" t="n"/>
      <c r="H720" s="45" t="n"/>
      <c r="I720" s="45" t="n"/>
      <c r="J720" s="38" t="n"/>
    </row>
    <row r="721">
      <c r="A721" s="16">
        <f>IF($B721="","",COUNTA($B$4:$B721))</f>
        <v/>
      </c>
      <c r="B721" s="72" t="n"/>
      <c r="C721" s="46" t="n"/>
      <c r="D721" s="47" t="n"/>
      <c r="E721" s="47" t="n"/>
      <c r="F721" s="47" t="n"/>
      <c r="G721" s="47" t="n"/>
      <c r="H721" s="47" t="n"/>
      <c r="I721" s="47" t="n"/>
      <c r="J721" s="40" t="n"/>
    </row>
    <row r="722">
      <c r="A722" s="16">
        <f>IF($B722="","",COUNTA($B$4:$B722))</f>
        <v/>
      </c>
      <c r="B722" s="71" t="n"/>
      <c r="C722" s="44" t="n"/>
      <c r="D722" s="45" t="n"/>
      <c r="E722" s="45" t="n"/>
      <c r="F722" s="45" t="n"/>
      <c r="G722" s="45" t="n"/>
      <c r="H722" s="45" t="n"/>
      <c r="I722" s="45" t="n"/>
      <c r="J722" s="38" t="n"/>
    </row>
    <row r="723">
      <c r="A723" s="16">
        <f>IF($B723="","",COUNTA($B$4:$B723))</f>
        <v/>
      </c>
      <c r="B723" s="72" t="n"/>
      <c r="C723" s="46" t="n"/>
      <c r="D723" s="47" t="n"/>
      <c r="E723" s="47" t="n"/>
      <c r="F723" s="47" t="n"/>
      <c r="G723" s="47" t="n"/>
      <c r="H723" s="47" t="n"/>
      <c r="I723" s="47" t="n"/>
      <c r="J723" s="40" t="n"/>
    </row>
    <row r="724">
      <c r="A724" s="16">
        <f>IF($B724="","",COUNTA($B$4:$B724))</f>
        <v/>
      </c>
      <c r="B724" s="71" t="n"/>
      <c r="C724" s="44" t="n"/>
      <c r="D724" s="45" t="n"/>
      <c r="E724" s="45" t="n"/>
      <c r="F724" s="45" t="n"/>
      <c r="G724" s="45" t="n"/>
      <c r="H724" s="45" t="n"/>
      <c r="I724" s="45" t="n"/>
      <c r="J724" s="38" t="n"/>
    </row>
    <row r="725">
      <c r="A725" s="16">
        <f>IF($B725="","",COUNTA($B$4:$B725))</f>
        <v/>
      </c>
      <c r="B725" s="72" t="n"/>
      <c r="C725" s="46" t="n"/>
      <c r="D725" s="47" t="n"/>
      <c r="E725" s="47" t="n"/>
      <c r="F725" s="47" t="n"/>
      <c r="G725" s="47" t="n"/>
      <c r="H725" s="47" t="n"/>
      <c r="I725" s="47" t="n"/>
      <c r="J725" s="40" t="n"/>
    </row>
    <row r="726">
      <c r="A726" s="16">
        <f>IF($B726="","",COUNTA($B$4:$B726))</f>
        <v/>
      </c>
      <c r="B726" s="71" t="n"/>
      <c r="C726" s="44" t="n"/>
      <c r="D726" s="45" t="n"/>
      <c r="E726" s="45" t="n"/>
      <c r="F726" s="45" t="n"/>
      <c r="G726" s="45" t="n"/>
      <c r="H726" s="45" t="n"/>
      <c r="I726" s="45" t="n"/>
      <c r="J726" s="38" t="n"/>
    </row>
    <row r="727">
      <c r="A727" s="16">
        <f>IF($B727="","",COUNTA($B$4:$B727))</f>
        <v/>
      </c>
      <c r="B727" s="72" t="n"/>
      <c r="C727" s="46" t="n"/>
      <c r="D727" s="47" t="n"/>
      <c r="E727" s="47" t="n"/>
      <c r="F727" s="47" t="n"/>
      <c r="G727" s="47" t="n"/>
      <c r="H727" s="47" t="n"/>
      <c r="I727" s="47" t="n"/>
      <c r="J727" s="40" t="n"/>
    </row>
    <row r="728">
      <c r="A728" s="16">
        <f>IF($B728="","",COUNTA($B$4:$B728))</f>
        <v/>
      </c>
      <c r="B728" s="71" t="n"/>
      <c r="C728" s="44" t="n"/>
      <c r="D728" s="45" t="n"/>
      <c r="E728" s="45" t="n"/>
      <c r="F728" s="45" t="n"/>
      <c r="G728" s="45" t="n"/>
      <c r="H728" s="45" t="n"/>
      <c r="I728" s="45" t="n"/>
      <c r="J728" s="38" t="n"/>
    </row>
    <row r="729">
      <c r="A729" s="16">
        <f>IF($B729="","",COUNTA($B$4:$B729))</f>
        <v/>
      </c>
      <c r="B729" s="72" t="n"/>
      <c r="C729" s="46" t="n"/>
      <c r="D729" s="47" t="n"/>
      <c r="E729" s="47" t="n"/>
      <c r="F729" s="47" t="n"/>
      <c r="G729" s="47" t="n"/>
      <c r="H729" s="47" t="n"/>
      <c r="I729" s="47" t="n"/>
      <c r="J729" s="40" t="n"/>
    </row>
    <row r="730">
      <c r="A730" s="16">
        <f>IF($B730="","",COUNTA($B$4:$B730))</f>
        <v/>
      </c>
      <c r="B730" s="71" t="n"/>
      <c r="C730" s="44" t="n"/>
      <c r="D730" s="45" t="n"/>
      <c r="E730" s="45" t="n"/>
      <c r="F730" s="45" t="n"/>
      <c r="G730" s="45" t="n"/>
      <c r="H730" s="45" t="n"/>
      <c r="I730" s="45" t="n"/>
      <c r="J730" s="38" t="n"/>
    </row>
    <row r="731">
      <c r="A731" s="16">
        <f>IF($B731="","",COUNTA($B$4:$B731))</f>
        <v/>
      </c>
      <c r="B731" s="72" t="n"/>
      <c r="C731" s="46" t="n"/>
      <c r="D731" s="47" t="n"/>
      <c r="E731" s="47" t="n"/>
      <c r="F731" s="47" t="n"/>
      <c r="G731" s="47" t="n"/>
      <c r="H731" s="47" t="n"/>
      <c r="I731" s="47" t="n"/>
      <c r="J731" s="40" t="n"/>
    </row>
    <row r="732">
      <c r="A732" s="16">
        <f>IF($B732="","",COUNTA($B$4:$B732))</f>
        <v/>
      </c>
      <c r="B732" s="71" t="n"/>
      <c r="C732" s="44" t="n"/>
      <c r="D732" s="45" t="n"/>
      <c r="E732" s="45" t="n"/>
      <c r="F732" s="45" t="n"/>
      <c r="G732" s="45" t="n"/>
      <c r="H732" s="45" t="n"/>
      <c r="I732" s="45" t="n"/>
      <c r="J732" s="38" t="n"/>
    </row>
    <row r="733">
      <c r="A733" s="16">
        <f>IF($B733="","",COUNTA($B$4:$B733))</f>
        <v/>
      </c>
      <c r="B733" s="72" t="n"/>
      <c r="C733" s="46" t="n"/>
      <c r="D733" s="47" t="n"/>
      <c r="E733" s="47" t="n"/>
      <c r="F733" s="47" t="n"/>
      <c r="G733" s="47" t="n"/>
      <c r="H733" s="47" t="n"/>
      <c r="I733" s="47" t="n"/>
      <c r="J733" s="40" t="n"/>
    </row>
    <row r="734">
      <c r="A734" s="16">
        <f>IF($B734="","",COUNTA($B$4:$B734))</f>
        <v/>
      </c>
      <c r="B734" s="71" t="n"/>
      <c r="C734" s="44" t="n"/>
      <c r="D734" s="45" t="n"/>
      <c r="E734" s="45" t="n"/>
      <c r="F734" s="45" t="n"/>
      <c r="G734" s="45" t="n"/>
      <c r="H734" s="45" t="n"/>
      <c r="I734" s="45" t="n"/>
      <c r="J734" s="38" t="n"/>
    </row>
    <row r="735">
      <c r="A735" s="16">
        <f>IF($B735="","",COUNTA($B$4:$B735))</f>
        <v/>
      </c>
      <c r="B735" s="72" t="n"/>
      <c r="C735" s="46" t="n"/>
      <c r="D735" s="47" t="n"/>
      <c r="E735" s="47" t="n"/>
      <c r="F735" s="47" t="n"/>
      <c r="G735" s="47" t="n"/>
      <c r="H735" s="47" t="n"/>
      <c r="I735" s="47" t="n"/>
      <c r="J735" s="40" t="n"/>
    </row>
    <row r="736">
      <c r="A736" s="16">
        <f>IF($B736="","",COUNTA($B$4:$B736))</f>
        <v/>
      </c>
      <c r="B736" s="71" t="n"/>
      <c r="C736" s="44" t="n"/>
      <c r="D736" s="45" t="n"/>
      <c r="E736" s="45" t="n"/>
      <c r="F736" s="45" t="n"/>
      <c r="G736" s="45" t="n"/>
      <c r="H736" s="45" t="n"/>
      <c r="I736" s="45" t="n"/>
      <c r="J736" s="38" t="n"/>
    </row>
    <row r="737">
      <c r="A737" s="16">
        <f>IF($B737="","",COUNTA($B$4:$B737))</f>
        <v/>
      </c>
      <c r="B737" s="72" t="n"/>
      <c r="C737" s="46" t="n"/>
      <c r="D737" s="47" t="n"/>
      <c r="E737" s="47" t="n"/>
      <c r="F737" s="47" t="n"/>
      <c r="G737" s="47" t="n"/>
      <c r="H737" s="47" t="n"/>
      <c r="I737" s="47" t="n"/>
      <c r="J737" s="40" t="n"/>
    </row>
    <row r="738">
      <c r="A738" s="16">
        <f>IF($B738="","",COUNTA($B$4:$B738))</f>
        <v/>
      </c>
      <c r="B738" s="71" t="n"/>
      <c r="C738" s="44" t="n"/>
      <c r="D738" s="45" t="n"/>
      <c r="E738" s="45" t="n"/>
      <c r="F738" s="45" t="n"/>
      <c r="G738" s="45" t="n"/>
      <c r="H738" s="45" t="n"/>
      <c r="I738" s="45" t="n"/>
      <c r="J738" s="38" t="n"/>
    </row>
    <row r="739">
      <c r="A739" s="16">
        <f>IF($B739="","",COUNTA($B$4:$B739))</f>
        <v/>
      </c>
      <c r="B739" s="72" t="n"/>
      <c r="C739" s="46" t="n"/>
      <c r="D739" s="47" t="n"/>
      <c r="E739" s="47" t="n"/>
      <c r="F739" s="47" t="n"/>
      <c r="G739" s="47" t="n"/>
      <c r="H739" s="47" t="n"/>
      <c r="I739" s="47" t="n"/>
      <c r="J739" s="40" t="n"/>
    </row>
    <row r="740">
      <c r="A740" s="16">
        <f>IF($B740="","",COUNTA($B$4:$B740))</f>
        <v/>
      </c>
      <c r="B740" s="71" t="n"/>
      <c r="C740" s="44" t="n"/>
      <c r="D740" s="45" t="n"/>
      <c r="E740" s="45" t="n"/>
      <c r="F740" s="45" t="n"/>
      <c r="G740" s="45" t="n"/>
      <c r="H740" s="45" t="n"/>
      <c r="I740" s="45" t="n"/>
      <c r="J740" s="38" t="n"/>
    </row>
    <row r="741">
      <c r="A741" s="16">
        <f>IF($B741="","",COUNTA($B$4:$B741))</f>
        <v/>
      </c>
      <c r="B741" s="72" t="n"/>
      <c r="C741" s="46" t="n"/>
      <c r="D741" s="47" t="n"/>
      <c r="E741" s="47" t="n"/>
      <c r="F741" s="47" t="n"/>
      <c r="G741" s="47" t="n"/>
      <c r="H741" s="47" t="n"/>
      <c r="I741" s="47" t="n"/>
      <c r="J741" s="40" t="n"/>
    </row>
    <row r="742">
      <c r="A742" s="16">
        <f>IF($B742="","",COUNTA($B$4:$B742))</f>
        <v/>
      </c>
      <c r="B742" s="71" t="n"/>
      <c r="C742" s="44" t="n"/>
      <c r="D742" s="45" t="n"/>
      <c r="E742" s="45" t="n"/>
      <c r="F742" s="45" t="n"/>
      <c r="G742" s="45" t="n"/>
      <c r="H742" s="45" t="n"/>
      <c r="I742" s="45" t="n"/>
      <c r="J742" s="38" t="n"/>
    </row>
    <row r="743">
      <c r="A743" s="16">
        <f>IF($B743="","",COUNTA($B$4:$B743))</f>
        <v/>
      </c>
      <c r="B743" s="72" t="n"/>
      <c r="C743" s="46" t="n"/>
      <c r="D743" s="47" t="n"/>
      <c r="E743" s="47" t="n"/>
      <c r="F743" s="47" t="n"/>
      <c r="G743" s="47" t="n"/>
      <c r="H743" s="47" t="n"/>
      <c r="I743" s="47" t="n"/>
      <c r="J743" s="40" t="n"/>
    </row>
    <row r="744">
      <c r="A744" s="16">
        <f>IF($B744="","",COUNTA($B$4:$B744))</f>
        <v/>
      </c>
      <c r="B744" s="71" t="n"/>
      <c r="C744" s="44" t="n"/>
      <c r="D744" s="45" t="n"/>
      <c r="E744" s="45" t="n"/>
      <c r="F744" s="45" t="n"/>
      <c r="G744" s="45" t="n"/>
      <c r="H744" s="45" t="n"/>
      <c r="I744" s="45" t="n"/>
      <c r="J744" s="38" t="n"/>
    </row>
    <row r="745">
      <c r="A745" s="16">
        <f>IF($B745="","",COUNTA($B$4:$B745))</f>
        <v/>
      </c>
      <c r="B745" s="72" t="n"/>
      <c r="C745" s="46" t="n"/>
      <c r="D745" s="47" t="n"/>
      <c r="E745" s="47" t="n"/>
      <c r="F745" s="47" t="n"/>
      <c r="G745" s="47" t="n"/>
      <c r="H745" s="47" t="n"/>
      <c r="I745" s="47" t="n"/>
      <c r="J745" s="40" t="n"/>
    </row>
    <row r="746">
      <c r="A746" s="16">
        <f>IF($B746="","",COUNTA($B$4:$B746))</f>
        <v/>
      </c>
      <c r="B746" s="71" t="n"/>
      <c r="C746" s="44" t="n"/>
      <c r="D746" s="45" t="n"/>
      <c r="E746" s="45" t="n"/>
      <c r="F746" s="45" t="n"/>
      <c r="G746" s="45" t="n"/>
      <c r="H746" s="45" t="n"/>
      <c r="I746" s="45" t="n"/>
      <c r="J746" s="38" t="n"/>
    </row>
    <row r="747">
      <c r="A747" s="16">
        <f>IF($B747="","",COUNTA($B$4:$B747))</f>
        <v/>
      </c>
      <c r="B747" s="72" t="n"/>
      <c r="C747" s="46" t="n"/>
      <c r="D747" s="47" t="n"/>
      <c r="E747" s="47" t="n"/>
      <c r="F747" s="47" t="n"/>
      <c r="G747" s="47" t="n"/>
      <c r="H747" s="47" t="n"/>
      <c r="I747" s="47" t="n"/>
      <c r="J747" s="40" t="n"/>
    </row>
    <row r="748">
      <c r="A748" s="16">
        <f>IF($B748="","",COUNTA($B$4:$B748))</f>
        <v/>
      </c>
      <c r="B748" s="71" t="n"/>
      <c r="C748" s="44" t="n"/>
      <c r="D748" s="45" t="n"/>
      <c r="E748" s="45" t="n"/>
      <c r="F748" s="45" t="n"/>
      <c r="G748" s="45" t="n"/>
      <c r="H748" s="45" t="n"/>
      <c r="I748" s="45" t="n"/>
      <c r="J748" s="38" t="n"/>
    </row>
    <row r="749">
      <c r="A749" s="16">
        <f>IF($B749="","",COUNTA($B$4:$B749))</f>
        <v/>
      </c>
      <c r="B749" s="72" t="n"/>
      <c r="C749" s="46" t="n"/>
      <c r="D749" s="47" t="n"/>
      <c r="E749" s="47" t="n"/>
      <c r="F749" s="47" t="n"/>
      <c r="G749" s="47" t="n"/>
      <c r="H749" s="47" t="n"/>
      <c r="I749" s="47" t="n"/>
      <c r="J749" s="40" t="n"/>
    </row>
    <row r="750">
      <c r="A750" s="16">
        <f>IF($B750="","",COUNTA($B$4:$B750))</f>
        <v/>
      </c>
      <c r="B750" s="71" t="n"/>
      <c r="C750" s="44" t="n"/>
      <c r="D750" s="45" t="n"/>
      <c r="E750" s="45" t="n"/>
      <c r="F750" s="45" t="n"/>
      <c r="G750" s="45" t="n"/>
      <c r="H750" s="45" t="n"/>
      <c r="I750" s="45" t="n"/>
      <c r="J750" s="38" t="n"/>
    </row>
    <row r="751">
      <c r="A751" s="16">
        <f>IF($B751="","",COUNTA($B$4:$B751))</f>
        <v/>
      </c>
      <c r="B751" s="72" t="n"/>
      <c r="C751" s="46" t="n"/>
      <c r="D751" s="47" t="n"/>
      <c r="E751" s="47" t="n"/>
      <c r="F751" s="47" t="n"/>
      <c r="G751" s="47" t="n"/>
      <c r="H751" s="47" t="n"/>
      <c r="I751" s="47" t="n"/>
      <c r="J751" s="40" t="n"/>
    </row>
    <row r="752">
      <c r="A752" s="16">
        <f>IF($B752="","",COUNTA($B$4:$B752))</f>
        <v/>
      </c>
      <c r="B752" s="71" t="n"/>
      <c r="C752" s="44" t="n"/>
      <c r="D752" s="45" t="n"/>
      <c r="E752" s="45" t="n"/>
      <c r="F752" s="45" t="n"/>
      <c r="G752" s="45" t="n"/>
      <c r="H752" s="45" t="n"/>
      <c r="I752" s="45" t="n"/>
      <c r="J752" s="38" t="n"/>
    </row>
    <row r="753">
      <c r="A753" s="16">
        <f>IF($B753="","",COUNTA($B$4:$B753))</f>
        <v/>
      </c>
      <c r="B753" s="72" t="n"/>
      <c r="C753" s="46" t="n"/>
      <c r="D753" s="47" t="n"/>
      <c r="E753" s="47" t="n"/>
      <c r="F753" s="47" t="n"/>
      <c r="G753" s="47" t="n"/>
      <c r="H753" s="47" t="n"/>
      <c r="I753" s="47" t="n"/>
      <c r="J753" s="40" t="n"/>
    </row>
    <row r="754">
      <c r="A754" s="16">
        <f>IF($B754="","",COUNTA($B$4:$B754))</f>
        <v/>
      </c>
      <c r="B754" s="71" t="n"/>
      <c r="C754" s="44" t="n"/>
      <c r="D754" s="45" t="n"/>
      <c r="E754" s="45" t="n"/>
      <c r="F754" s="45" t="n"/>
      <c r="G754" s="45" t="n"/>
      <c r="H754" s="45" t="n"/>
      <c r="I754" s="45" t="n"/>
      <c r="J754" s="38" t="n"/>
    </row>
    <row r="755">
      <c r="A755" s="16">
        <f>IF($B755="","",COUNTA($B$4:$B755))</f>
        <v/>
      </c>
      <c r="B755" s="72" t="n"/>
      <c r="C755" s="46" t="n"/>
      <c r="D755" s="47" t="n"/>
      <c r="E755" s="47" t="n"/>
      <c r="F755" s="47" t="n"/>
      <c r="G755" s="47" t="n"/>
      <c r="H755" s="47" t="n"/>
      <c r="I755" s="47" t="n"/>
      <c r="J755" s="40" t="n"/>
    </row>
    <row r="756">
      <c r="A756" s="16">
        <f>IF($B756="","",COUNTA($B$4:$B756))</f>
        <v/>
      </c>
      <c r="B756" s="71" t="n"/>
      <c r="C756" s="44" t="n"/>
      <c r="D756" s="45" t="n"/>
      <c r="E756" s="45" t="n"/>
      <c r="F756" s="45" t="n"/>
      <c r="G756" s="45" t="n"/>
      <c r="H756" s="45" t="n"/>
      <c r="I756" s="45" t="n"/>
      <c r="J756" s="38" t="n"/>
    </row>
    <row r="757">
      <c r="A757" s="16">
        <f>IF($B757="","",COUNTA($B$4:$B757))</f>
        <v/>
      </c>
      <c r="B757" s="72" t="n"/>
      <c r="C757" s="46" t="n"/>
      <c r="D757" s="47" t="n"/>
      <c r="E757" s="47" t="n"/>
      <c r="F757" s="47" t="n"/>
      <c r="G757" s="47" t="n"/>
      <c r="H757" s="47" t="n"/>
      <c r="I757" s="47" t="n"/>
      <c r="J757" s="40" t="n"/>
    </row>
    <row r="758">
      <c r="A758" s="16">
        <f>IF($B758="","",COUNTA($B$4:$B758))</f>
        <v/>
      </c>
      <c r="B758" s="71" t="n"/>
      <c r="C758" s="44" t="n"/>
      <c r="D758" s="45" t="n"/>
      <c r="E758" s="45" t="n"/>
      <c r="F758" s="45" t="n"/>
      <c r="G758" s="45" t="n"/>
      <c r="H758" s="45" t="n"/>
      <c r="I758" s="45" t="n"/>
      <c r="J758" s="38" t="n"/>
    </row>
    <row r="759">
      <c r="A759" s="16">
        <f>IF($B759="","",COUNTA($B$4:$B759))</f>
        <v/>
      </c>
      <c r="B759" s="72" t="n"/>
      <c r="C759" s="46" t="n"/>
      <c r="D759" s="47" t="n"/>
      <c r="E759" s="47" t="n"/>
      <c r="F759" s="47" t="n"/>
      <c r="G759" s="47" t="n"/>
      <c r="H759" s="47" t="n"/>
      <c r="I759" s="47" t="n"/>
      <c r="J759" s="40" t="n"/>
    </row>
    <row r="760">
      <c r="A760" s="16">
        <f>IF($B760="","",COUNTA($B$4:$B760))</f>
        <v/>
      </c>
      <c r="B760" s="71" t="n"/>
      <c r="C760" s="44" t="n"/>
      <c r="D760" s="45" t="n"/>
      <c r="E760" s="45" t="n"/>
      <c r="F760" s="45" t="n"/>
      <c r="G760" s="45" t="n"/>
      <c r="H760" s="45" t="n"/>
      <c r="I760" s="45" t="n"/>
      <c r="J760" s="38" t="n"/>
    </row>
    <row r="761">
      <c r="A761" s="16">
        <f>IF($B761="","",COUNTA($B$4:$B761))</f>
        <v/>
      </c>
      <c r="B761" s="72" t="n"/>
      <c r="C761" s="46" t="n"/>
      <c r="D761" s="47" t="n"/>
      <c r="E761" s="47" t="n"/>
      <c r="F761" s="47" t="n"/>
      <c r="G761" s="47" t="n"/>
      <c r="H761" s="47" t="n"/>
      <c r="I761" s="47" t="n"/>
      <c r="J761" s="40" t="n"/>
    </row>
    <row r="762">
      <c r="A762" s="16">
        <f>IF($B762="","",COUNTA($B$4:$B762))</f>
        <v/>
      </c>
      <c r="B762" s="71" t="n"/>
      <c r="C762" s="44" t="n"/>
      <c r="D762" s="45" t="n"/>
      <c r="E762" s="45" t="n"/>
      <c r="F762" s="45" t="n"/>
      <c r="G762" s="45" t="n"/>
      <c r="H762" s="45" t="n"/>
      <c r="I762" s="45" t="n"/>
      <c r="J762" s="38" t="n"/>
    </row>
    <row r="763">
      <c r="A763" s="16">
        <f>IF($B763="","",COUNTA($B$4:$B763))</f>
        <v/>
      </c>
      <c r="B763" s="72" t="n"/>
      <c r="C763" s="46" t="n"/>
      <c r="D763" s="47" t="n"/>
      <c r="E763" s="47" t="n"/>
      <c r="F763" s="47" t="n"/>
      <c r="G763" s="47" t="n"/>
      <c r="H763" s="47" t="n"/>
      <c r="I763" s="47" t="n"/>
      <c r="J763" s="40" t="n"/>
    </row>
    <row r="764">
      <c r="A764" s="16">
        <f>IF($B764="","",COUNTA($B$4:$B764))</f>
        <v/>
      </c>
      <c r="B764" s="71" t="n"/>
      <c r="C764" s="44" t="n"/>
      <c r="D764" s="45" t="n"/>
      <c r="E764" s="45" t="n"/>
      <c r="F764" s="45" t="n"/>
      <c r="G764" s="45" t="n"/>
      <c r="H764" s="45" t="n"/>
      <c r="I764" s="45" t="n"/>
      <c r="J764" s="38" t="n"/>
    </row>
    <row r="765">
      <c r="A765" s="16">
        <f>IF($B765="","",COUNTA($B$4:$B765))</f>
        <v/>
      </c>
      <c r="B765" s="72" t="n"/>
      <c r="C765" s="46" t="n"/>
      <c r="D765" s="47" t="n"/>
      <c r="E765" s="47" t="n"/>
      <c r="F765" s="47" t="n"/>
      <c r="G765" s="47" t="n"/>
      <c r="H765" s="47" t="n"/>
      <c r="I765" s="47" t="n"/>
      <c r="J765" s="40" t="n"/>
    </row>
    <row r="766">
      <c r="A766" s="16">
        <f>IF($B766="","",COUNTA($B$4:$B766))</f>
        <v/>
      </c>
      <c r="B766" s="71" t="n"/>
      <c r="C766" s="44" t="n"/>
      <c r="D766" s="45" t="n"/>
      <c r="E766" s="45" t="n"/>
      <c r="F766" s="45" t="n"/>
      <c r="G766" s="45" t="n"/>
      <c r="H766" s="45" t="n"/>
      <c r="I766" s="45" t="n"/>
      <c r="J766" s="38" t="n"/>
    </row>
    <row r="767">
      <c r="A767" s="16">
        <f>IF($B767="","",COUNTA($B$4:$B767))</f>
        <v/>
      </c>
      <c r="B767" s="72" t="n"/>
      <c r="C767" s="46" t="n"/>
      <c r="D767" s="47" t="n"/>
      <c r="E767" s="47" t="n"/>
      <c r="F767" s="47" t="n"/>
      <c r="G767" s="47" t="n"/>
      <c r="H767" s="47" t="n"/>
      <c r="I767" s="47" t="n"/>
      <c r="J767" s="40" t="n"/>
    </row>
    <row r="768">
      <c r="A768" s="16">
        <f>IF($B768="","",COUNTA($B$4:$B768))</f>
        <v/>
      </c>
      <c r="B768" s="71" t="n"/>
      <c r="C768" s="44" t="n"/>
      <c r="D768" s="45" t="n"/>
      <c r="E768" s="45" t="n"/>
      <c r="F768" s="45" t="n"/>
      <c r="G768" s="45" t="n"/>
      <c r="H768" s="45" t="n"/>
      <c r="I768" s="45" t="n"/>
      <c r="J768" s="38" t="n"/>
    </row>
    <row r="769">
      <c r="A769" s="16">
        <f>IF($B769="","",COUNTA($B$4:$B769))</f>
        <v/>
      </c>
      <c r="B769" s="72" t="n"/>
      <c r="C769" s="46" t="n"/>
      <c r="D769" s="47" t="n"/>
      <c r="E769" s="47" t="n"/>
      <c r="F769" s="47" t="n"/>
      <c r="G769" s="47" t="n"/>
      <c r="H769" s="47" t="n"/>
      <c r="I769" s="47" t="n"/>
      <c r="J769" s="40" t="n"/>
    </row>
    <row r="770">
      <c r="A770" s="16">
        <f>IF($B770="","",COUNTA($B$4:$B770))</f>
        <v/>
      </c>
      <c r="B770" s="71" t="n"/>
      <c r="C770" s="44" t="n"/>
      <c r="D770" s="45" t="n"/>
      <c r="E770" s="45" t="n"/>
      <c r="F770" s="45" t="n"/>
      <c r="G770" s="45" t="n"/>
      <c r="H770" s="45" t="n"/>
      <c r="I770" s="45" t="n"/>
      <c r="J770" s="38" t="n"/>
    </row>
    <row r="771">
      <c r="A771" s="16">
        <f>IF($B771="","",COUNTA($B$4:$B771))</f>
        <v/>
      </c>
      <c r="B771" s="72" t="n"/>
      <c r="C771" s="46" t="n"/>
      <c r="D771" s="47" t="n"/>
      <c r="E771" s="47" t="n"/>
      <c r="F771" s="47" t="n"/>
      <c r="G771" s="47" t="n"/>
      <c r="H771" s="47" t="n"/>
      <c r="I771" s="47" t="n"/>
      <c r="J771" s="40" t="n"/>
    </row>
    <row r="772">
      <c r="A772" s="16">
        <f>IF($B772="","",COUNTA($B$4:$B772))</f>
        <v/>
      </c>
      <c r="B772" s="71" t="n"/>
      <c r="C772" s="44" t="n"/>
      <c r="D772" s="45" t="n"/>
      <c r="E772" s="45" t="n"/>
      <c r="F772" s="45" t="n"/>
      <c r="G772" s="45" t="n"/>
      <c r="H772" s="45" t="n"/>
      <c r="I772" s="45" t="n"/>
      <c r="J772" s="38" t="n"/>
    </row>
    <row r="773">
      <c r="A773" s="16">
        <f>IF($B773="","",COUNTA($B$4:$B773))</f>
        <v/>
      </c>
      <c r="B773" s="72" t="n"/>
      <c r="C773" s="46" t="n"/>
      <c r="D773" s="47" t="n"/>
      <c r="E773" s="47" t="n"/>
      <c r="F773" s="47" t="n"/>
      <c r="G773" s="47" t="n"/>
      <c r="H773" s="47" t="n"/>
      <c r="I773" s="47" t="n"/>
      <c r="J773" s="40" t="n"/>
    </row>
    <row r="774">
      <c r="A774" s="16">
        <f>IF($B774="","",COUNTA($B$4:$B774))</f>
        <v/>
      </c>
      <c r="B774" s="71" t="n"/>
      <c r="C774" s="44" t="n"/>
      <c r="D774" s="45" t="n"/>
      <c r="E774" s="45" t="n"/>
      <c r="F774" s="45" t="n"/>
      <c r="G774" s="45" t="n"/>
      <c r="H774" s="45" t="n"/>
      <c r="I774" s="45" t="n"/>
      <c r="J774" s="38" t="n"/>
    </row>
    <row r="775">
      <c r="A775" s="16">
        <f>IF($B775="","",COUNTA($B$4:$B775))</f>
        <v/>
      </c>
      <c r="B775" s="72" t="n"/>
      <c r="C775" s="46" t="n"/>
      <c r="D775" s="47" t="n"/>
      <c r="E775" s="47" t="n"/>
      <c r="F775" s="47" t="n"/>
      <c r="G775" s="47" t="n"/>
      <c r="H775" s="47" t="n"/>
      <c r="I775" s="47" t="n"/>
      <c r="J775" s="40" t="n"/>
    </row>
    <row r="776">
      <c r="A776" s="16">
        <f>IF($B776="","",COUNTA($B$4:$B776))</f>
        <v/>
      </c>
      <c r="B776" s="71" t="n"/>
      <c r="C776" s="44" t="n"/>
      <c r="D776" s="45" t="n"/>
      <c r="E776" s="45" t="n"/>
      <c r="F776" s="45" t="n"/>
      <c r="G776" s="45" t="n"/>
      <c r="H776" s="45" t="n"/>
      <c r="I776" s="45" t="n"/>
      <c r="J776" s="38" t="n"/>
    </row>
    <row r="777">
      <c r="A777" s="16">
        <f>IF($B777="","",COUNTA($B$4:$B777))</f>
        <v/>
      </c>
      <c r="B777" s="72" t="n"/>
      <c r="C777" s="46" t="n"/>
      <c r="D777" s="47" t="n"/>
      <c r="E777" s="47" t="n"/>
      <c r="F777" s="47" t="n"/>
      <c r="G777" s="47" t="n"/>
      <c r="H777" s="47" t="n"/>
      <c r="I777" s="47" t="n"/>
      <c r="J777" s="40" t="n"/>
    </row>
    <row r="778">
      <c r="A778" s="16">
        <f>IF($B778="","",COUNTA($B$4:$B778))</f>
        <v/>
      </c>
      <c r="B778" s="71" t="n"/>
      <c r="C778" s="44" t="n"/>
      <c r="D778" s="45" t="n"/>
      <c r="E778" s="45" t="n"/>
      <c r="F778" s="45" t="n"/>
      <c r="G778" s="45" t="n"/>
      <c r="H778" s="45" t="n"/>
      <c r="I778" s="45" t="n"/>
      <c r="J778" s="38" t="n"/>
    </row>
    <row r="779">
      <c r="A779" s="16">
        <f>IF($B779="","",COUNTA($B$4:$B779))</f>
        <v/>
      </c>
      <c r="B779" s="72" t="n"/>
      <c r="C779" s="46" t="n"/>
      <c r="D779" s="47" t="n"/>
      <c r="E779" s="47" t="n"/>
      <c r="F779" s="47" t="n"/>
      <c r="G779" s="47" t="n"/>
      <c r="H779" s="47" t="n"/>
      <c r="I779" s="47" t="n"/>
      <c r="J779" s="40" t="n"/>
    </row>
    <row r="780">
      <c r="A780" s="16">
        <f>IF($B780="","",COUNTA($B$4:$B780))</f>
        <v/>
      </c>
      <c r="B780" s="71" t="n"/>
      <c r="C780" s="44" t="n"/>
      <c r="D780" s="45" t="n"/>
      <c r="E780" s="45" t="n"/>
      <c r="F780" s="45" t="n"/>
      <c r="G780" s="45" t="n"/>
      <c r="H780" s="45" t="n"/>
      <c r="I780" s="45" t="n"/>
      <c r="J780" s="38" t="n"/>
    </row>
    <row r="781">
      <c r="A781" s="16">
        <f>IF($B781="","",COUNTA($B$4:$B781))</f>
        <v/>
      </c>
      <c r="B781" s="72" t="n"/>
      <c r="C781" s="46" t="n"/>
      <c r="D781" s="47" t="n"/>
      <c r="E781" s="47" t="n"/>
      <c r="F781" s="47" t="n"/>
      <c r="G781" s="47" t="n"/>
      <c r="H781" s="47" t="n"/>
      <c r="I781" s="47" t="n"/>
      <c r="J781" s="40" t="n"/>
    </row>
    <row r="782">
      <c r="A782" s="16">
        <f>IF($B782="","",COUNTA($B$4:$B782))</f>
        <v/>
      </c>
      <c r="B782" s="71" t="n"/>
      <c r="C782" s="44" t="n"/>
      <c r="D782" s="45" t="n"/>
      <c r="E782" s="45" t="n"/>
      <c r="F782" s="45" t="n"/>
      <c r="G782" s="45" t="n"/>
      <c r="H782" s="45" t="n"/>
      <c r="I782" s="45" t="n"/>
      <c r="J782" s="38" t="n"/>
    </row>
    <row r="783">
      <c r="A783" s="16">
        <f>IF($B783="","",COUNTA($B$4:$B783))</f>
        <v/>
      </c>
      <c r="B783" s="72" t="n"/>
      <c r="C783" s="46" t="n"/>
      <c r="D783" s="47" t="n"/>
      <c r="E783" s="47" t="n"/>
      <c r="F783" s="47" t="n"/>
      <c r="G783" s="47" t="n"/>
      <c r="H783" s="47" t="n"/>
      <c r="I783" s="47" t="n"/>
      <c r="J783" s="40" t="n"/>
    </row>
    <row r="784">
      <c r="A784" s="16">
        <f>IF($B784="","",COUNTA($B$4:$B784))</f>
        <v/>
      </c>
      <c r="B784" s="71" t="n"/>
      <c r="C784" s="44" t="n"/>
      <c r="D784" s="45" t="n"/>
      <c r="E784" s="45" t="n"/>
      <c r="F784" s="45" t="n"/>
      <c r="G784" s="45" t="n"/>
      <c r="H784" s="45" t="n"/>
      <c r="I784" s="45" t="n"/>
      <c r="J784" s="38" t="n"/>
    </row>
    <row r="785">
      <c r="A785" s="16">
        <f>IF($B785="","",COUNTA($B$4:$B785))</f>
        <v/>
      </c>
      <c r="B785" s="72" t="n"/>
      <c r="C785" s="46" t="n"/>
      <c r="D785" s="47" t="n"/>
      <c r="E785" s="47" t="n"/>
      <c r="F785" s="47" t="n"/>
      <c r="G785" s="47" t="n"/>
      <c r="H785" s="47" t="n"/>
      <c r="I785" s="47" t="n"/>
      <c r="J785" s="40" t="n"/>
    </row>
    <row r="786">
      <c r="A786" s="16">
        <f>IF($B786="","",COUNTA($B$4:$B786))</f>
        <v/>
      </c>
      <c r="B786" s="71" t="n"/>
      <c r="C786" s="44" t="n"/>
      <c r="D786" s="45" t="n"/>
      <c r="E786" s="45" t="n"/>
      <c r="F786" s="45" t="n"/>
      <c r="G786" s="45" t="n"/>
      <c r="H786" s="45" t="n"/>
      <c r="I786" s="45" t="n"/>
      <c r="J786" s="38" t="n"/>
    </row>
    <row r="787">
      <c r="A787" s="16">
        <f>IF($B787="","",COUNTA($B$4:$B787))</f>
        <v/>
      </c>
      <c r="B787" s="72" t="n"/>
      <c r="C787" s="46" t="n"/>
      <c r="D787" s="47" t="n"/>
      <c r="E787" s="47" t="n"/>
      <c r="F787" s="47" t="n"/>
      <c r="G787" s="47" t="n"/>
      <c r="H787" s="47" t="n"/>
      <c r="I787" s="47" t="n"/>
      <c r="J787" s="40" t="n"/>
    </row>
    <row r="788">
      <c r="A788" s="16">
        <f>IF($B788="","",COUNTA($B$4:$B788))</f>
        <v/>
      </c>
      <c r="B788" s="71" t="n"/>
      <c r="C788" s="44" t="n"/>
      <c r="D788" s="45" t="n"/>
      <c r="E788" s="45" t="n"/>
      <c r="F788" s="45" t="n"/>
      <c r="G788" s="45" t="n"/>
      <c r="H788" s="45" t="n"/>
      <c r="I788" s="45" t="n"/>
      <c r="J788" s="38" t="n"/>
    </row>
    <row r="789">
      <c r="A789" s="16">
        <f>IF($B789="","",COUNTA($B$4:$B789))</f>
        <v/>
      </c>
      <c r="B789" s="72" t="n"/>
      <c r="C789" s="46" t="n"/>
      <c r="D789" s="47" t="n"/>
      <c r="E789" s="47" t="n"/>
      <c r="F789" s="47" t="n"/>
      <c r="G789" s="47" t="n"/>
      <c r="H789" s="47" t="n"/>
      <c r="I789" s="47" t="n"/>
      <c r="J789" s="40" t="n"/>
    </row>
    <row r="790">
      <c r="A790" s="16">
        <f>IF($B790="","",COUNTA($B$4:$B790))</f>
        <v/>
      </c>
      <c r="B790" s="71" t="n"/>
      <c r="C790" s="44" t="n"/>
      <c r="D790" s="45" t="n"/>
      <c r="E790" s="45" t="n"/>
      <c r="F790" s="45" t="n"/>
      <c r="G790" s="45" t="n"/>
      <c r="H790" s="45" t="n"/>
      <c r="I790" s="45" t="n"/>
      <c r="J790" s="38" t="n"/>
    </row>
    <row r="791">
      <c r="A791" s="16">
        <f>IF($B791="","",COUNTA($B$4:$B791))</f>
        <v/>
      </c>
      <c r="B791" s="72" t="n"/>
      <c r="C791" s="46" t="n"/>
      <c r="D791" s="47" t="n"/>
      <c r="E791" s="47" t="n"/>
      <c r="F791" s="47" t="n"/>
      <c r="G791" s="47" t="n"/>
      <c r="H791" s="47" t="n"/>
      <c r="I791" s="47" t="n"/>
      <c r="J791" s="40" t="n"/>
    </row>
    <row r="792">
      <c r="A792" s="16">
        <f>IF($B792="","",COUNTA($B$4:$B792))</f>
        <v/>
      </c>
      <c r="B792" s="71" t="n"/>
      <c r="C792" s="44" t="n"/>
      <c r="D792" s="45" t="n"/>
      <c r="E792" s="45" t="n"/>
      <c r="F792" s="45" t="n"/>
      <c r="G792" s="45" t="n"/>
      <c r="H792" s="45" t="n"/>
      <c r="I792" s="45" t="n"/>
      <c r="J792" s="38" t="n"/>
    </row>
    <row r="793">
      <c r="A793" s="16">
        <f>IF($B793="","",COUNTA($B$4:$B793))</f>
        <v/>
      </c>
      <c r="B793" s="72" t="n"/>
      <c r="C793" s="46" t="n"/>
      <c r="D793" s="47" t="n"/>
      <c r="E793" s="47" t="n"/>
      <c r="F793" s="47" t="n"/>
      <c r="G793" s="47" t="n"/>
      <c r="H793" s="47" t="n"/>
      <c r="I793" s="47" t="n"/>
      <c r="J793" s="40" t="n"/>
    </row>
    <row r="794">
      <c r="A794" s="16">
        <f>IF($B794="","",COUNTA($B$4:$B794))</f>
        <v/>
      </c>
      <c r="B794" s="71" t="n"/>
      <c r="C794" s="44" t="n"/>
      <c r="D794" s="45" t="n"/>
      <c r="E794" s="45" t="n"/>
      <c r="F794" s="45" t="n"/>
      <c r="G794" s="45" t="n"/>
      <c r="H794" s="45" t="n"/>
      <c r="I794" s="45" t="n"/>
      <c r="J794" s="38" t="n"/>
    </row>
    <row r="795">
      <c r="A795" s="16">
        <f>IF($B795="","",COUNTA($B$4:$B795))</f>
        <v/>
      </c>
      <c r="B795" s="72" t="n"/>
      <c r="C795" s="46" t="n"/>
      <c r="D795" s="47" t="n"/>
      <c r="E795" s="47" t="n"/>
      <c r="F795" s="47" t="n"/>
      <c r="G795" s="47" t="n"/>
      <c r="H795" s="47" t="n"/>
      <c r="I795" s="47" t="n"/>
      <c r="J795" s="40" t="n"/>
    </row>
    <row r="796">
      <c r="A796" s="16">
        <f>IF($B796="","",COUNTA($B$4:$B796))</f>
        <v/>
      </c>
      <c r="B796" s="71" t="n"/>
      <c r="C796" s="44" t="n"/>
      <c r="D796" s="45" t="n"/>
      <c r="E796" s="45" t="n"/>
      <c r="F796" s="45" t="n"/>
      <c r="G796" s="45" t="n"/>
      <c r="H796" s="45" t="n"/>
      <c r="I796" s="45" t="n"/>
      <c r="J796" s="38" t="n"/>
    </row>
    <row r="797">
      <c r="A797" s="16">
        <f>IF($B797="","",COUNTA($B$4:$B797))</f>
        <v/>
      </c>
      <c r="B797" s="72" t="n"/>
      <c r="C797" s="46" t="n"/>
      <c r="D797" s="47" t="n"/>
      <c r="E797" s="47" t="n"/>
      <c r="F797" s="47" t="n"/>
      <c r="G797" s="47" t="n"/>
      <c r="H797" s="47" t="n"/>
      <c r="I797" s="47" t="n"/>
      <c r="J797" s="40" t="n"/>
    </row>
    <row r="798">
      <c r="A798" s="16">
        <f>IF($B798="","",COUNTA($B$4:$B798))</f>
        <v/>
      </c>
      <c r="B798" s="71" t="n"/>
      <c r="C798" s="44" t="n"/>
      <c r="D798" s="45" t="n"/>
      <c r="E798" s="45" t="n"/>
      <c r="F798" s="45" t="n"/>
      <c r="G798" s="45" t="n"/>
      <c r="H798" s="45" t="n"/>
      <c r="I798" s="45" t="n"/>
      <c r="J798" s="38" t="n"/>
    </row>
    <row r="799">
      <c r="A799" s="16">
        <f>IF($B799="","",COUNTA($B$4:$B799))</f>
        <v/>
      </c>
      <c r="B799" s="72" t="n"/>
      <c r="C799" s="46" t="n"/>
      <c r="D799" s="47" t="n"/>
      <c r="E799" s="47" t="n"/>
      <c r="F799" s="47" t="n"/>
      <c r="G799" s="47" t="n"/>
      <c r="H799" s="47" t="n"/>
      <c r="I799" s="47" t="n"/>
      <c r="J799" s="40" t="n"/>
    </row>
    <row r="800">
      <c r="A800" s="16">
        <f>IF($B800="","",COUNTA($B$4:$B800))</f>
        <v/>
      </c>
      <c r="B800" s="71" t="n"/>
      <c r="C800" s="44" t="n"/>
      <c r="D800" s="45" t="n"/>
      <c r="E800" s="45" t="n"/>
      <c r="F800" s="45" t="n"/>
      <c r="G800" s="45" t="n"/>
      <c r="H800" s="45" t="n"/>
      <c r="I800" s="45" t="n"/>
      <c r="J800" s="38" t="n"/>
    </row>
    <row r="801">
      <c r="A801" s="16">
        <f>IF($B801="","",COUNTA($B$4:$B801))</f>
        <v/>
      </c>
      <c r="B801" s="72" t="n"/>
      <c r="C801" s="46" t="n"/>
      <c r="D801" s="47" t="n"/>
      <c r="E801" s="47" t="n"/>
      <c r="F801" s="47" t="n"/>
      <c r="G801" s="47" t="n"/>
      <c r="H801" s="47" t="n"/>
      <c r="I801" s="47" t="n"/>
      <c r="J801" s="40" t="n"/>
    </row>
    <row r="802">
      <c r="A802" s="16">
        <f>IF($B802="","",COUNTA($B$4:$B802))</f>
        <v/>
      </c>
      <c r="B802" s="71" t="n"/>
      <c r="C802" s="44" t="n"/>
      <c r="D802" s="45" t="n"/>
      <c r="E802" s="45" t="n"/>
      <c r="F802" s="45" t="n"/>
      <c r="G802" s="45" t="n"/>
      <c r="H802" s="45" t="n"/>
      <c r="I802" s="45" t="n"/>
      <c r="J802" s="38" t="n"/>
    </row>
    <row r="803">
      <c r="A803" s="16">
        <f>IF($B803="","",COUNTA($B$4:$B803))</f>
        <v/>
      </c>
      <c r="B803" s="72" t="n"/>
      <c r="C803" s="46" t="n"/>
      <c r="D803" s="47" t="n"/>
      <c r="E803" s="47" t="n"/>
      <c r="F803" s="47" t="n"/>
      <c r="G803" s="47" t="n"/>
      <c r="H803" s="47" t="n"/>
      <c r="I803" s="47" t="n"/>
      <c r="J803" s="40" t="n"/>
    </row>
    <row r="804">
      <c r="A804" s="16">
        <f>IF($B804="","",COUNTA($B$4:$B804))</f>
        <v/>
      </c>
      <c r="B804" s="71" t="n"/>
      <c r="C804" s="44" t="n"/>
      <c r="D804" s="45" t="n"/>
      <c r="E804" s="45" t="n"/>
      <c r="F804" s="45" t="n"/>
      <c r="G804" s="45" t="n"/>
      <c r="H804" s="45" t="n"/>
      <c r="I804" s="45" t="n"/>
      <c r="J804" s="38" t="n"/>
    </row>
    <row r="805">
      <c r="A805" s="16">
        <f>IF($B805="","",COUNTA($B$4:$B805))</f>
        <v/>
      </c>
      <c r="B805" s="72" t="n"/>
      <c r="C805" s="46" t="n"/>
      <c r="D805" s="47" t="n"/>
      <c r="E805" s="47" t="n"/>
      <c r="F805" s="47" t="n"/>
      <c r="G805" s="47" t="n"/>
      <c r="H805" s="47" t="n"/>
      <c r="I805" s="47" t="n"/>
      <c r="J805" s="40" t="n"/>
    </row>
    <row r="806">
      <c r="A806" s="16">
        <f>IF($B806="","",COUNTA($B$4:$B806))</f>
        <v/>
      </c>
      <c r="B806" s="71" t="n"/>
      <c r="C806" s="44" t="n"/>
      <c r="D806" s="45" t="n"/>
      <c r="E806" s="45" t="n"/>
      <c r="F806" s="45" t="n"/>
      <c r="G806" s="45" t="n"/>
      <c r="H806" s="45" t="n"/>
      <c r="I806" s="45" t="n"/>
      <c r="J806" s="38" t="n"/>
    </row>
    <row r="807">
      <c r="A807" s="16">
        <f>IF($B807="","",COUNTA($B$4:$B807))</f>
        <v/>
      </c>
      <c r="B807" s="72" t="n"/>
      <c r="C807" s="46" t="n"/>
      <c r="D807" s="47" t="n"/>
      <c r="E807" s="47" t="n"/>
      <c r="F807" s="47" t="n"/>
      <c r="G807" s="47" t="n"/>
      <c r="H807" s="47" t="n"/>
      <c r="I807" s="47" t="n"/>
      <c r="J807" s="40" t="n"/>
    </row>
    <row r="808">
      <c r="A808" s="16">
        <f>IF($B808="","",COUNTA($B$4:$B808))</f>
        <v/>
      </c>
      <c r="B808" s="71" t="n"/>
      <c r="C808" s="44" t="n"/>
      <c r="D808" s="45" t="n"/>
      <c r="E808" s="45" t="n"/>
      <c r="F808" s="45" t="n"/>
      <c r="G808" s="45" t="n"/>
      <c r="H808" s="45" t="n"/>
      <c r="I808" s="45" t="n"/>
      <c r="J808" s="38" t="n"/>
    </row>
    <row r="809">
      <c r="A809" s="16">
        <f>IF($B809="","",COUNTA($B$4:$B809))</f>
        <v/>
      </c>
      <c r="B809" s="72" t="n"/>
      <c r="C809" s="46" t="n"/>
      <c r="D809" s="47" t="n"/>
      <c r="E809" s="47" t="n"/>
      <c r="F809" s="47" t="n"/>
      <c r="G809" s="47" t="n"/>
      <c r="H809" s="47" t="n"/>
      <c r="I809" s="47" t="n"/>
      <c r="J809" s="40" t="n"/>
    </row>
    <row r="810">
      <c r="A810" s="16">
        <f>IF($B810="","",COUNTA($B$4:$B810))</f>
        <v/>
      </c>
      <c r="B810" s="71" t="n"/>
      <c r="C810" s="44" t="n"/>
      <c r="D810" s="45" t="n"/>
      <c r="E810" s="45" t="n"/>
      <c r="F810" s="45" t="n"/>
      <c r="G810" s="45" t="n"/>
      <c r="H810" s="45" t="n"/>
      <c r="I810" s="45" t="n"/>
      <c r="J810" s="38" t="n"/>
    </row>
    <row r="811">
      <c r="A811" s="16">
        <f>IF($B811="","",COUNTA($B$4:$B811))</f>
        <v/>
      </c>
      <c r="B811" s="72" t="n"/>
      <c r="C811" s="46" t="n"/>
      <c r="D811" s="47" t="n"/>
      <c r="E811" s="47" t="n"/>
      <c r="F811" s="47" t="n"/>
      <c r="G811" s="47" t="n"/>
      <c r="H811" s="47" t="n"/>
      <c r="I811" s="47" t="n"/>
      <c r="J811" s="40" t="n"/>
    </row>
    <row r="812">
      <c r="A812" s="16">
        <f>IF($B812="","",COUNTA($B$4:$B812))</f>
        <v/>
      </c>
      <c r="B812" s="71" t="n"/>
      <c r="C812" s="44" t="n"/>
      <c r="D812" s="45" t="n"/>
      <c r="E812" s="45" t="n"/>
      <c r="F812" s="45" t="n"/>
      <c r="G812" s="45" t="n"/>
      <c r="H812" s="45" t="n"/>
      <c r="I812" s="45" t="n"/>
      <c r="J812" s="38" t="n"/>
    </row>
    <row r="813">
      <c r="A813" s="16">
        <f>IF($B813="","",COUNTA($B$4:$B813))</f>
        <v/>
      </c>
      <c r="B813" s="72" t="n"/>
      <c r="C813" s="46" t="n"/>
      <c r="D813" s="47" t="n"/>
      <c r="E813" s="47" t="n"/>
      <c r="F813" s="47" t="n"/>
      <c r="G813" s="47" t="n"/>
      <c r="H813" s="47" t="n"/>
      <c r="I813" s="47" t="n"/>
      <c r="J813" s="40" t="n"/>
    </row>
    <row r="814">
      <c r="A814" s="16">
        <f>IF($B814="","",COUNTA($B$4:$B814))</f>
        <v/>
      </c>
      <c r="B814" s="71" t="n"/>
      <c r="C814" s="44" t="n"/>
      <c r="D814" s="45" t="n"/>
      <c r="E814" s="45" t="n"/>
      <c r="F814" s="45" t="n"/>
      <c r="G814" s="45" t="n"/>
      <c r="H814" s="45" t="n"/>
      <c r="I814" s="45" t="n"/>
      <c r="J814" s="38" t="n"/>
    </row>
    <row r="815">
      <c r="A815" s="16">
        <f>IF($B815="","",COUNTA($B$4:$B815))</f>
        <v/>
      </c>
      <c r="B815" s="72" t="n"/>
      <c r="C815" s="46" t="n"/>
      <c r="D815" s="47" t="n"/>
      <c r="E815" s="47" t="n"/>
      <c r="F815" s="47" t="n"/>
      <c r="G815" s="47" t="n"/>
      <c r="H815" s="47" t="n"/>
      <c r="I815" s="47" t="n"/>
      <c r="J815" s="40" t="n"/>
    </row>
    <row r="816">
      <c r="A816" s="16">
        <f>IF($B816="","",COUNTA($B$4:$B816))</f>
        <v/>
      </c>
      <c r="B816" s="71" t="n"/>
      <c r="C816" s="44" t="n"/>
      <c r="D816" s="45" t="n"/>
      <c r="E816" s="45" t="n"/>
      <c r="F816" s="45" t="n"/>
      <c r="G816" s="45" t="n"/>
      <c r="H816" s="45" t="n"/>
      <c r="I816" s="45" t="n"/>
      <c r="J816" s="38" t="n"/>
    </row>
    <row r="817">
      <c r="A817" s="16">
        <f>IF($B817="","",COUNTA($B$4:$B817))</f>
        <v/>
      </c>
      <c r="B817" s="72" t="n"/>
      <c r="C817" s="46" t="n"/>
      <c r="D817" s="47" t="n"/>
      <c r="E817" s="47" t="n"/>
      <c r="F817" s="47" t="n"/>
      <c r="G817" s="47" t="n"/>
      <c r="H817" s="47" t="n"/>
      <c r="I817" s="47" t="n"/>
      <c r="J817" s="40" t="n"/>
    </row>
    <row r="818">
      <c r="A818" s="16">
        <f>IF($B818="","",COUNTA($B$4:$B818))</f>
        <v/>
      </c>
      <c r="B818" s="71" t="n"/>
      <c r="C818" s="44" t="n"/>
      <c r="D818" s="45" t="n"/>
      <c r="E818" s="45" t="n"/>
      <c r="F818" s="45" t="n"/>
      <c r="G818" s="45" t="n"/>
      <c r="H818" s="45" t="n"/>
      <c r="I818" s="45" t="n"/>
      <c r="J818" s="38" t="n"/>
    </row>
    <row r="819">
      <c r="A819" s="16">
        <f>IF($B819="","",COUNTA($B$4:$B819))</f>
        <v/>
      </c>
      <c r="B819" s="72" t="n"/>
      <c r="C819" s="46" t="n"/>
      <c r="D819" s="47" t="n"/>
      <c r="E819" s="47" t="n"/>
      <c r="F819" s="47" t="n"/>
      <c r="G819" s="47" t="n"/>
      <c r="H819" s="47" t="n"/>
      <c r="I819" s="47" t="n"/>
      <c r="J819" s="40" t="n"/>
    </row>
    <row r="820">
      <c r="A820" s="16">
        <f>IF($B820="","",COUNTA($B$4:$B820))</f>
        <v/>
      </c>
      <c r="B820" s="71" t="n"/>
      <c r="C820" s="44" t="n"/>
      <c r="D820" s="45" t="n"/>
      <c r="E820" s="45" t="n"/>
      <c r="F820" s="45" t="n"/>
      <c r="G820" s="45" t="n"/>
      <c r="H820" s="45" t="n"/>
      <c r="I820" s="45" t="n"/>
      <c r="J820" s="38" t="n"/>
    </row>
    <row r="821">
      <c r="A821" s="16">
        <f>IF($B821="","",COUNTA($B$4:$B821))</f>
        <v/>
      </c>
      <c r="B821" s="72" t="n"/>
      <c r="C821" s="46" t="n"/>
      <c r="D821" s="47" t="n"/>
      <c r="E821" s="47" t="n"/>
      <c r="F821" s="47" t="n"/>
      <c r="G821" s="47" t="n"/>
      <c r="H821" s="47" t="n"/>
      <c r="I821" s="47" t="n"/>
      <c r="J821" s="40" t="n"/>
    </row>
    <row r="822">
      <c r="A822" s="16">
        <f>IF($B822="","",COUNTA($B$4:$B822))</f>
        <v/>
      </c>
      <c r="B822" s="71" t="n"/>
      <c r="C822" s="44" t="n"/>
      <c r="D822" s="45" t="n"/>
      <c r="E822" s="45" t="n"/>
      <c r="F822" s="45" t="n"/>
      <c r="G822" s="45" t="n"/>
      <c r="H822" s="45" t="n"/>
      <c r="I822" s="45" t="n"/>
      <c r="J822" s="38" t="n"/>
    </row>
    <row r="823">
      <c r="A823" s="16">
        <f>IF($B823="","",COUNTA($B$4:$B823))</f>
        <v/>
      </c>
      <c r="B823" s="72" t="n"/>
      <c r="C823" s="46" t="n"/>
      <c r="D823" s="47" t="n"/>
      <c r="E823" s="47" t="n"/>
      <c r="F823" s="47" t="n"/>
      <c r="G823" s="47" t="n"/>
      <c r="H823" s="47" t="n"/>
      <c r="I823" s="47" t="n"/>
      <c r="J823" s="40" t="n"/>
    </row>
    <row r="824">
      <c r="A824" s="16">
        <f>IF($B824="","",COUNTA($B$4:$B824))</f>
        <v/>
      </c>
      <c r="B824" s="71" t="n"/>
      <c r="C824" s="44" t="n"/>
      <c r="D824" s="45" t="n"/>
      <c r="E824" s="45" t="n"/>
      <c r="F824" s="45" t="n"/>
      <c r="G824" s="45" t="n"/>
      <c r="H824" s="45" t="n"/>
      <c r="I824" s="45" t="n"/>
      <c r="J824" s="38" t="n"/>
    </row>
    <row r="825">
      <c r="A825" s="16">
        <f>IF($B825="","",COUNTA($B$4:$B825))</f>
        <v/>
      </c>
      <c r="B825" s="72" t="n"/>
      <c r="C825" s="46" t="n"/>
      <c r="D825" s="47" t="n"/>
      <c r="E825" s="47" t="n"/>
      <c r="F825" s="47" t="n"/>
      <c r="G825" s="47" t="n"/>
      <c r="H825" s="47" t="n"/>
      <c r="I825" s="47" t="n"/>
      <c r="J825" s="40" t="n"/>
    </row>
    <row r="826">
      <c r="A826" s="16">
        <f>IF($B826="","",COUNTA($B$4:$B826))</f>
        <v/>
      </c>
      <c r="B826" s="71" t="n"/>
      <c r="C826" s="44" t="n"/>
      <c r="D826" s="45" t="n"/>
      <c r="E826" s="45" t="n"/>
      <c r="F826" s="45" t="n"/>
      <c r="G826" s="45" t="n"/>
      <c r="H826" s="45" t="n"/>
      <c r="I826" s="45" t="n"/>
      <c r="J826" s="38" t="n"/>
    </row>
    <row r="827">
      <c r="A827" s="16">
        <f>IF($B827="","",COUNTA($B$4:$B827))</f>
        <v/>
      </c>
      <c r="B827" s="72" t="n"/>
      <c r="C827" s="46" t="n"/>
      <c r="D827" s="47" t="n"/>
      <c r="E827" s="47" t="n"/>
      <c r="F827" s="47" t="n"/>
      <c r="G827" s="47" t="n"/>
      <c r="H827" s="47" t="n"/>
      <c r="I827" s="47" t="n"/>
      <c r="J827" s="40" t="n"/>
    </row>
    <row r="828">
      <c r="A828" s="16">
        <f>IF($B828="","",COUNTA($B$4:$B828))</f>
        <v/>
      </c>
      <c r="B828" s="71" t="n"/>
      <c r="C828" s="44" t="n"/>
      <c r="D828" s="45" t="n"/>
      <c r="E828" s="45" t="n"/>
      <c r="F828" s="45" t="n"/>
      <c r="G828" s="45" t="n"/>
      <c r="H828" s="45" t="n"/>
      <c r="I828" s="45" t="n"/>
      <c r="J828" s="38" t="n"/>
    </row>
    <row r="829">
      <c r="A829" s="16">
        <f>IF($B829="","",COUNTA($B$4:$B829))</f>
        <v/>
      </c>
      <c r="B829" s="72" t="n"/>
      <c r="C829" s="46" t="n"/>
      <c r="D829" s="47" t="n"/>
      <c r="E829" s="47" t="n"/>
      <c r="F829" s="47" t="n"/>
      <c r="G829" s="47" t="n"/>
      <c r="H829" s="47" t="n"/>
      <c r="I829" s="47" t="n"/>
      <c r="J829" s="40" t="n"/>
    </row>
    <row r="830">
      <c r="A830" s="16">
        <f>IF($B830="","",COUNTA($B$4:$B830))</f>
        <v/>
      </c>
      <c r="B830" s="71" t="n"/>
      <c r="C830" s="44" t="n"/>
      <c r="D830" s="45" t="n"/>
      <c r="E830" s="45" t="n"/>
      <c r="F830" s="45" t="n"/>
      <c r="G830" s="45" t="n"/>
      <c r="H830" s="45" t="n"/>
      <c r="I830" s="45" t="n"/>
      <c r="J830" s="38" t="n"/>
    </row>
    <row r="831">
      <c r="A831" s="16">
        <f>IF($B831="","",COUNTA($B$4:$B831))</f>
        <v/>
      </c>
      <c r="B831" s="72" t="n"/>
      <c r="C831" s="46" t="n"/>
      <c r="D831" s="47" t="n"/>
      <c r="E831" s="47" t="n"/>
      <c r="F831" s="47" t="n"/>
      <c r="G831" s="47" t="n"/>
      <c r="H831" s="47" t="n"/>
      <c r="I831" s="47" t="n"/>
      <c r="J831" s="40" t="n"/>
    </row>
    <row r="832">
      <c r="A832" s="16">
        <f>IF($B832="","",COUNTA($B$4:$B832))</f>
        <v/>
      </c>
      <c r="B832" s="71" t="n"/>
      <c r="C832" s="44" t="n"/>
      <c r="D832" s="45" t="n"/>
      <c r="E832" s="45" t="n"/>
      <c r="F832" s="45" t="n"/>
      <c r="G832" s="45" t="n"/>
      <c r="H832" s="45" t="n"/>
      <c r="I832" s="45" t="n"/>
      <c r="J832" s="38" t="n"/>
    </row>
    <row r="833">
      <c r="A833" s="16">
        <f>IF($B833="","",COUNTA($B$4:$B833))</f>
        <v/>
      </c>
      <c r="B833" s="72" t="n"/>
      <c r="C833" s="46" t="n"/>
      <c r="D833" s="47" t="n"/>
      <c r="E833" s="47" t="n"/>
      <c r="F833" s="47" t="n"/>
      <c r="G833" s="47" t="n"/>
      <c r="H833" s="47" t="n"/>
      <c r="I833" s="47" t="n"/>
      <c r="J833" s="40" t="n"/>
    </row>
    <row r="834">
      <c r="A834" s="16">
        <f>IF($B834="","",COUNTA($B$4:$B834))</f>
        <v/>
      </c>
      <c r="B834" s="71" t="n"/>
      <c r="C834" s="44" t="n"/>
      <c r="D834" s="45" t="n"/>
      <c r="E834" s="45" t="n"/>
      <c r="F834" s="45" t="n"/>
      <c r="G834" s="45" t="n"/>
      <c r="H834" s="45" t="n"/>
      <c r="I834" s="45" t="n"/>
      <c r="J834" s="38" t="n"/>
    </row>
    <row r="835">
      <c r="A835" s="16">
        <f>IF($B835="","",COUNTA($B$4:$B835))</f>
        <v/>
      </c>
      <c r="B835" s="72" t="n"/>
      <c r="C835" s="46" t="n"/>
      <c r="D835" s="47" t="n"/>
      <c r="E835" s="47" t="n"/>
      <c r="F835" s="47" t="n"/>
      <c r="G835" s="47" t="n"/>
      <c r="H835" s="47" t="n"/>
      <c r="I835" s="47" t="n"/>
      <c r="J835" s="40" t="n"/>
    </row>
    <row r="836">
      <c r="A836" s="16">
        <f>IF($B836="","",COUNTA($B$4:$B836))</f>
        <v/>
      </c>
      <c r="B836" s="71" t="n"/>
      <c r="C836" s="44" t="n"/>
      <c r="D836" s="45" t="n"/>
      <c r="E836" s="45" t="n"/>
      <c r="F836" s="45" t="n"/>
      <c r="G836" s="45" t="n"/>
      <c r="H836" s="45" t="n"/>
      <c r="I836" s="45" t="n"/>
      <c r="J836" s="38" t="n"/>
    </row>
    <row r="837">
      <c r="A837" s="16">
        <f>IF($B837="","",COUNTA($B$4:$B837))</f>
        <v/>
      </c>
      <c r="B837" s="72" t="n"/>
      <c r="C837" s="46" t="n"/>
      <c r="D837" s="47" t="n"/>
      <c r="E837" s="47" t="n"/>
      <c r="F837" s="47" t="n"/>
      <c r="G837" s="47" t="n"/>
      <c r="H837" s="47" t="n"/>
      <c r="I837" s="47" t="n"/>
      <c r="J837" s="40" t="n"/>
    </row>
    <row r="838">
      <c r="A838" s="16">
        <f>IF($B838="","",COUNTA($B$4:$B838))</f>
        <v/>
      </c>
      <c r="B838" s="71" t="n"/>
      <c r="C838" s="44" t="n"/>
      <c r="D838" s="45" t="n"/>
      <c r="E838" s="45" t="n"/>
      <c r="F838" s="45" t="n"/>
      <c r="G838" s="45" t="n"/>
      <c r="H838" s="45" t="n"/>
      <c r="I838" s="45" t="n"/>
      <c r="J838" s="38" t="n"/>
    </row>
    <row r="839">
      <c r="A839" s="16">
        <f>IF($B839="","",COUNTA($B$4:$B839))</f>
        <v/>
      </c>
      <c r="B839" s="72" t="n"/>
      <c r="C839" s="46" t="n"/>
      <c r="D839" s="47" t="n"/>
      <c r="E839" s="47" t="n"/>
      <c r="F839" s="47" t="n"/>
      <c r="G839" s="47" t="n"/>
      <c r="H839" s="47" t="n"/>
      <c r="I839" s="47" t="n"/>
      <c r="J839" s="40" t="n"/>
    </row>
    <row r="840">
      <c r="A840" s="16">
        <f>IF($B840="","",COUNTA($B$4:$B840))</f>
        <v/>
      </c>
      <c r="B840" s="71" t="n"/>
      <c r="C840" s="44" t="n"/>
      <c r="D840" s="45" t="n"/>
      <c r="E840" s="45" t="n"/>
      <c r="F840" s="45" t="n"/>
      <c r="G840" s="45" t="n"/>
      <c r="H840" s="45" t="n"/>
      <c r="I840" s="45" t="n"/>
      <c r="J840" s="38" t="n"/>
    </row>
    <row r="841">
      <c r="A841" s="16">
        <f>IF($B841="","",COUNTA($B$4:$B841))</f>
        <v/>
      </c>
      <c r="B841" s="72" t="n"/>
      <c r="C841" s="46" t="n"/>
      <c r="D841" s="47" t="n"/>
      <c r="E841" s="47" t="n"/>
      <c r="F841" s="47" t="n"/>
      <c r="G841" s="47" t="n"/>
      <c r="H841" s="47" t="n"/>
      <c r="I841" s="47" t="n"/>
      <c r="J841" s="40" t="n"/>
    </row>
    <row r="842">
      <c r="A842" s="16">
        <f>IF($B842="","",COUNTA($B$4:$B842))</f>
        <v/>
      </c>
      <c r="B842" s="71" t="n"/>
      <c r="C842" s="44" t="n"/>
      <c r="D842" s="45" t="n"/>
      <c r="E842" s="45" t="n"/>
      <c r="F842" s="45" t="n"/>
      <c r="G842" s="45" t="n"/>
      <c r="H842" s="45" t="n"/>
      <c r="I842" s="45" t="n"/>
      <c r="J842" s="38" t="n"/>
    </row>
    <row r="843">
      <c r="A843" s="16">
        <f>IF($B843="","",COUNTA($B$4:$B843))</f>
        <v/>
      </c>
      <c r="B843" s="72" t="n"/>
      <c r="C843" s="46" t="n"/>
      <c r="D843" s="47" t="n"/>
      <c r="E843" s="47" t="n"/>
      <c r="F843" s="47" t="n"/>
      <c r="G843" s="47" t="n"/>
      <c r="H843" s="47" t="n"/>
      <c r="I843" s="47" t="n"/>
      <c r="J843" s="40" t="n"/>
    </row>
    <row r="844">
      <c r="A844" s="16">
        <f>IF($B844="","",COUNTA($B$4:$B844))</f>
        <v/>
      </c>
      <c r="B844" s="71" t="n"/>
      <c r="C844" s="44" t="n"/>
      <c r="D844" s="45" t="n"/>
      <c r="E844" s="45" t="n"/>
      <c r="F844" s="45" t="n"/>
      <c r="G844" s="45" t="n"/>
      <c r="H844" s="45" t="n"/>
      <c r="I844" s="45" t="n"/>
      <c r="J844" s="38" t="n"/>
    </row>
    <row r="845">
      <c r="A845" s="16">
        <f>IF($B845="","",COUNTA($B$4:$B845))</f>
        <v/>
      </c>
      <c r="B845" s="72" t="n"/>
      <c r="C845" s="46" t="n"/>
      <c r="D845" s="47" t="n"/>
      <c r="E845" s="47" t="n"/>
      <c r="F845" s="47" t="n"/>
      <c r="G845" s="47" t="n"/>
      <c r="H845" s="47" t="n"/>
      <c r="I845" s="47" t="n"/>
      <c r="J845" s="40" t="n"/>
    </row>
    <row r="846">
      <c r="A846" s="16">
        <f>IF($B846="","",COUNTA($B$4:$B846))</f>
        <v/>
      </c>
      <c r="B846" s="71" t="n"/>
      <c r="C846" s="44" t="n"/>
      <c r="D846" s="45" t="n"/>
      <c r="E846" s="45" t="n"/>
      <c r="F846" s="45" t="n"/>
      <c r="G846" s="45" t="n"/>
      <c r="H846" s="45" t="n"/>
      <c r="I846" s="45" t="n"/>
      <c r="J846" s="38" t="n"/>
    </row>
    <row r="847">
      <c r="A847" s="16">
        <f>IF($B847="","",COUNTA($B$4:$B847))</f>
        <v/>
      </c>
      <c r="B847" s="72" t="n"/>
      <c r="C847" s="46" t="n"/>
      <c r="D847" s="47" t="n"/>
      <c r="E847" s="47" t="n"/>
      <c r="F847" s="47" t="n"/>
      <c r="G847" s="47" t="n"/>
      <c r="H847" s="47" t="n"/>
      <c r="I847" s="47" t="n"/>
      <c r="J847" s="40" t="n"/>
    </row>
    <row r="848">
      <c r="A848" s="16">
        <f>IF($B848="","",COUNTA($B$4:$B848))</f>
        <v/>
      </c>
      <c r="B848" s="71" t="n"/>
      <c r="C848" s="44" t="n"/>
      <c r="D848" s="45" t="n"/>
      <c r="E848" s="45" t="n"/>
      <c r="F848" s="45" t="n"/>
      <c r="G848" s="45" t="n"/>
      <c r="H848" s="45" t="n"/>
      <c r="I848" s="45" t="n"/>
      <c r="J848" s="38" t="n"/>
    </row>
    <row r="849">
      <c r="A849" s="16">
        <f>IF($B849="","",COUNTA($B$4:$B849))</f>
        <v/>
      </c>
      <c r="B849" s="72" t="n"/>
      <c r="C849" s="46" t="n"/>
      <c r="D849" s="47" t="n"/>
      <c r="E849" s="47" t="n"/>
      <c r="F849" s="47" t="n"/>
      <c r="G849" s="47" t="n"/>
      <c r="H849" s="47" t="n"/>
      <c r="I849" s="47" t="n"/>
      <c r="J849" s="40" t="n"/>
    </row>
    <row r="850">
      <c r="A850" s="16">
        <f>IF($B850="","",COUNTA($B$4:$B850))</f>
        <v/>
      </c>
      <c r="B850" s="71" t="n"/>
      <c r="C850" s="44" t="n"/>
      <c r="D850" s="45" t="n"/>
      <c r="E850" s="45" t="n"/>
      <c r="F850" s="45" t="n"/>
      <c r="G850" s="45" t="n"/>
      <c r="H850" s="45" t="n"/>
      <c r="I850" s="45" t="n"/>
      <c r="J850" s="38" t="n"/>
    </row>
    <row r="851">
      <c r="A851" s="16">
        <f>IF($B851="","",COUNTA($B$4:$B851))</f>
        <v/>
      </c>
      <c r="B851" s="72" t="n"/>
      <c r="C851" s="46" t="n"/>
      <c r="D851" s="47" t="n"/>
      <c r="E851" s="47" t="n"/>
      <c r="F851" s="47" t="n"/>
      <c r="G851" s="47" t="n"/>
      <c r="H851" s="47" t="n"/>
      <c r="I851" s="47" t="n"/>
      <c r="J851" s="40" t="n"/>
    </row>
    <row r="852">
      <c r="A852" s="16">
        <f>IF($B852="","",COUNTA($B$4:$B852))</f>
        <v/>
      </c>
      <c r="B852" s="71" t="n"/>
      <c r="C852" s="44" t="n"/>
      <c r="D852" s="45" t="n"/>
      <c r="E852" s="45" t="n"/>
      <c r="F852" s="45" t="n"/>
      <c r="G852" s="45" t="n"/>
      <c r="H852" s="45" t="n"/>
      <c r="I852" s="45" t="n"/>
      <c r="J852" s="38" t="n"/>
    </row>
    <row r="853">
      <c r="A853" s="16">
        <f>IF($B853="","",COUNTA($B$4:$B853))</f>
        <v/>
      </c>
      <c r="B853" s="72" t="n"/>
      <c r="C853" s="46" t="n"/>
      <c r="D853" s="47" t="n"/>
      <c r="E853" s="47" t="n"/>
      <c r="F853" s="47" t="n"/>
      <c r="G853" s="47" t="n"/>
      <c r="H853" s="47" t="n"/>
      <c r="I853" s="47" t="n"/>
      <c r="J853" s="40" t="n"/>
    </row>
    <row r="854">
      <c r="A854" s="16">
        <f>IF($B854="","",COUNTA($B$4:$B854))</f>
        <v/>
      </c>
      <c r="B854" s="71" t="n"/>
      <c r="C854" s="44" t="n"/>
      <c r="D854" s="45" t="n"/>
      <c r="E854" s="45" t="n"/>
      <c r="F854" s="45" t="n"/>
      <c r="G854" s="45" t="n"/>
      <c r="H854" s="45" t="n"/>
      <c r="I854" s="45" t="n"/>
      <c r="J854" s="38" t="n"/>
    </row>
    <row r="855">
      <c r="A855" s="16">
        <f>IF($B855="","",COUNTA($B$4:$B855))</f>
        <v/>
      </c>
      <c r="B855" s="72" t="n"/>
      <c r="C855" s="46" t="n"/>
      <c r="D855" s="47" t="n"/>
      <c r="E855" s="47" t="n"/>
      <c r="F855" s="47" t="n"/>
      <c r="G855" s="47" t="n"/>
      <c r="H855" s="47" t="n"/>
      <c r="I855" s="47" t="n"/>
      <c r="J855" s="40" t="n"/>
    </row>
    <row r="856">
      <c r="A856" s="16">
        <f>IF($B856="","",COUNTA($B$4:$B856))</f>
        <v/>
      </c>
      <c r="B856" s="71" t="n"/>
      <c r="C856" s="44" t="n"/>
      <c r="D856" s="45" t="n"/>
      <c r="E856" s="45" t="n"/>
      <c r="F856" s="45" t="n"/>
      <c r="G856" s="45" t="n"/>
      <c r="H856" s="45" t="n"/>
      <c r="I856" s="45" t="n"/>
      <c r="J856" s="38" t="n"/>
    </row>
    <row r="857">
      <c r="A857" s="16">
        <f>IF($B857="","",COUNTA($B$4:$B857))</f>
        <v/>
      </c>
      <c r="B857" s="72" t="n"/>
      <c r="C857" s="46" t="n"/>
      <c r="D857" s="47" t="n"/>
      <c r="E857" s="47" t="n"/>
      <c r="F857" s="47" t="n"/>
      <c r="G857" s="47" t="n"/>
      <c r="H857" s="47" t="n"/>
      <c r="I857" s="47" t="n"/>
      <c r="J857" s="40" t="n"/>
    </row>
    <row r="858">
      <c r="A858" s="16">
        <f>IF($B858="","",COUNTA($B$4:$B858))</f>
        <v/>
      </c>
      <c r="B858" s="71" t="n"/>
      <c r="C858" s="44" t="n"/>
      <c r="D858" s="45" t="n"/>
      <c r="E858" s="45" t="n"/>
      <c r="F858" s="45" t="n"/>
      <c r="G858" s="45" t="n"/>
      <c r="H858" s="45" t="n"/>
      <c r="I858" s="45" t="n"/>
      <c r="J858" s="38" t="n"/>
    </row>
    <row r="859">
      <c r="A859" s="16">
        <f>IF($B859="","",COUNTA($B$4:$B859))</f>
        <v/>
      </c>
      <c r="B859" s="72" t="n"/>
      <c r="C859" s="46" t="n"/>
      <c r="D859" s="47" t="n"/>
      <c r="E859" s="47" t="n"/>
      <c r="F859" s="47" t="n"/>
      <c r="G859" s="47" t="n"/>
      <c r="H859" s="47" t="n"/>
      <c r="I859" s="47" t="n"/>
      <c r="J859" s="40" t="n"/>
    </row>
    <row r="860">
      <c r="A860" s="16">
        <f>IF($B860="","",COUNTA($B$4:$B860))</f>
        <v/>
      </c>
      <c r="B860" s="71" t="n"/>
      <c r="C860" s="44" t="n"/>
      <c r="D860" s="45" t="n"/>
      <c r="E860" s="45" t="n"/>
      <c r="F860" s="45" t="n"/>
      <c r="G860" s="45" t="n"/>
      <c r="H860" s="45" t="n"/>
      <c r="I860" s="45" t="n"/>
      <c r="J860" s="38" t="n"/>
    </row>
    <row r="861">
      <c r="A861" s="16">
        <f>IF($B861="","",COUNTA($B$4:$B861))</f>
        <v/>
      </c>
      <c r="B861" s="72" t="n"/>
      <c r="C861" s="46" t="n"/>
      <c r="D861" s="47" t="n"/>
      <c r="E861" s="47" t="n"/>
      <c r="F861" s="47" t="n"/>
      <c r="G861" s="47" t="n"/>
      <c r="H861" s="47" t="n"/>
      <c r="I861" s="47" t="n"/>
      <c r="J861" s="40" t="n"/>
    </row>
    <row r="862">
      <c r="A862" s="16">
        <f>IF($B862="","",COUNTA($B$4:$B862))</f>
        <v/>
      </c>
      <c r="B862" s="71" t="n"/>
      <c r="C862" s="44" t="n"/>
      <c r="D862" s="45" t="n"/>
      <c r="E862" s="45" t="n"/>
      <c r="F862" s="45" t="n"/>
      <c r="G862" s="45" t="n"/>
      <c r="H862" s="45" t="n"/>
      <c r="I862" s="45" t="n"/>
      <c r="J862" s="38" t="n"/>
    </row>
    <row r="863">
      <c r="A863" s="16">
        <f>IF($B863="","",COUNTA($B$4:$B863))</f>
        <v/>
      </c>
      <c r="B863" s="72" t="n"/>
      <c r="C863" s="46" t="n"/>
      <c r="D863" s="47" t="n"/>
      <c r="E863" s="47" t="n"/>
      <c r="F863" s="47" t="n"/>
      <c r="G863" s="47" t="n"/>
      <c r="H863" s="47" t="n"/>
      <c r="I863" s="47" t="n"/>
      <c r="J863" s="40" t="n"/>
    </row>
    <row r="864">
      <c r="A864" s="16">
        <f>IF($B864="","",COUNTA($B$4:$B864))</f>
        <v/>
      </c>
      <c r="B864" s="71" t="n"/>
      <c r="C864" s="44" t="n"/>
      <c r="D864" s="45" t="n"/>
      <c r="E864" s="45" t="n"/>
      <c r="F864" s="45" t="n"/>
      <c r="G864" s="45" t="n"/>
      <c r="H864" s="45" t="n"/>
      <c r="I864" s="45" t="n"/>
      <c r="J864" s="38" t="n"/>
    </row>
    <row r="865">
      <c r="A865" s="16">
        <f>IF($B865="","",COUNTA($B$4:$B865))</f>
        <v/>
      </c>
      <c r="B865" s="72" t="n"/>
      <c r="C865" s="46" t="n"/>
      <c r="D865" s="47" t="n"/>
      <c r="E865" s="47" t="n"/>
      <c r="F865" s="47" t="n"/>
      <c r="G865" s="47" t="n"/>
      <c r="H865" s="47" t="n"/>
      <c r="I865" s="47" t="n"/>
      <c r="J865" s="40" t="n"/>
    </row>
    <row r="866">
      <c r="A866" s="16">
        <f>IF($B866="","",COUNTA($B$4:$B866))</f>
        <v/>
      </c>
      <c r="B866" s="71" t="n"/>
      <c r="C866" s="44" t="n"/>
      <c r="D866" s="45" t="n"/>
      <c r="E866" s="45" t="n"/>
      <c r="F866" s="45" t="n"/>
      <c r="G866" s="45" t="n"/>
      <c r="H866" s="45" t="n"/>
      <c r="I866" s="45" t="n"/>
      <c r="J866" s="38" t="n"/>
    </row>
    <row r="867">
      <c r="A867" s="16">
        <f>IF($B867="","",COUNTA($B$4:$B867))</f>
        <v/>
      </c>
      <c r="B867" s="72" t="n"/>
      <c r="C867" s="46" t="n"/>
      <c r="D867" s="47" t="n"/>
      <c r="E867" s="47" t="n"/>
      <c r="F867" s="47" t="n"/>
      <c r="G867" s="47" t="n"/>
      <c r="H867" s="47" t="n"/>
      <c r="I867" s="47" t="n"/>
      <c r="J867" s="40" t="n"/>
    </row>
    <row r="868">
      <c r="A868" s="16">
        <f>IF($B868="","",COUNTA($B$4:$B868))</f>
        <v/>
      </c>
      <c r="B868" s="71" t="n"/>
      <c r="C868" s="44" t="n"/>
      <c r="D868" s="45" t="n"/>
      <c r="E868" s="45" t="n"/>
      <c r="F868" s="45" t="n"/>
      <c r="G868" s="45" t="n"/>
      <c r="H868" s="45" t="n"/>
      <c r="I868" s="45" t="n"/>
      <c r="J868" s="38" t="n"/>
    </row>
    <row r="869">
      <c r="A869" s="16">
        <f>IF($B869="","",COUNTA($B$4:$B869))</f>
        <v/>
      </c>
      <c r="B869" s="72" t="n"/>
      <c r="C869" s="46" t="n"/>
      <c r="D869" s="47" t="n"/>
      <c r="E869" s="47" t="n"/>
      <c r="F869" s="47" t="n"/>
      <c r="G869" s="47" t="n"/>
      <c r="H869" s="47" t="n"/>
      <c r="I869" s="47" t="n"/>
      <c r="J869" s="40" t="n"/>
    </row>
    <row r="870">
      <c r="A870" s="16">
        <f>IF($B870="","",COUNTA($B$4:$B870))</f>
        <v/>
      </c>
      <c r="B870" s="71" t="n"/>
      <c r="C870" s="44" t="n"/>
      <c r="D870" s="45" t="n"/>
      <c r="E870" s="45" t="n"/>
      <c r="F870" s="45" t="n"/>
      <c r="G870" s="45" t="n"/>
      <c r="H870" s="45" t="n"/>
      <c r="I870" s="45" t="n"/>
      <c r="J870" s="38" t="n"/>
    </row>
    <row r="871">
      <c r="A871" s="16">
        <f>IF($B871="","",COUNTA($B$4:$B871))</f>
        <v/>
      </c>
      <c r="B871" s="72" t="n"/>
      <c r="C871" s="46" t="n"/>
      <c r="D871" s="47" t="n"/>
      <c r="E871" s="47" t="n"/>
      <c r="F871" s="47" t="n"/>
      <c r="G871" s="47" t="n"/>
      <c r="H871" s="47" t="n"/>
      <c r="I871" s="47" t="n"/>
      <c r="J871" s="40" t="n"/>
    </row>
    <row r="872">
      <c r="A872" s="16">
        <f>IF($B872="","",COUNTA($B$4:$B872))</f>
        <v/>
      </c>
      <c r="B872" s="71" t="n"/>
      <c r="C872" s="44" t="n"/>
      <c r="D872" s="45" t="n"/>
      <c r="E872" s="45" t="n"/>
      <c r="F872" s="45" t="n"/>
      <c r="G872" s="45" t="n"/>
      <c r="H872" s="45" t="n"/>
      <c r="I872" s="45" t="n"/>
      <c r="J872" s="38" t="n"/>
    </row>
    <row r="873">
      <c r="A873" s="16">
        <f>IF($B873="","",COUNTA($B$4:$B873))</f>
        <v/>
      </c>
      <c r="B873" s="72" t="n"/>
      <c r="C873" s="46" t="n"/>
      <c r="D873" s="47" t="n"/>
      <c r="E873" s="47" t="n"/>
      <c r="F873" s="47" t="n"/>
      <c r="G873" s="47" t="n"/>
      <c r="H873" s="47" t="n"/>
      <c r="I873" s="47" t="n"/>
      <c r="J873" s="40" t="n"/>
    </row>
    <row r="874">
      <c r="A874" s="16">
        <f>IF($B874="","",COUNTA($B$4:$B874))</f>
        <v/>
      </c>
      <c r="B874" s="71" t="n"/>
      <c r="C874" s="44" t="n"/>
      <c r="D874" s="45" t="n"/>
      <c r="E874" s="45" t="n"/>
      <c r="F874" s="45" t="n"/>
      <c r="G874" s="45" t="n"/>
      <c r="H874" s="45" t="n"/>
      <c r="I874" s="45" t="n"/>
      <c r="J874" s="38" t="n"/>
    </row>
    <row r="875">
      <c r="A875" s="16">
        <f>IF($B875="","",COUNTA($B$4:$B875))</f>
        <v/>
      </c>
      <c r="B875" s="72" t="n"/>
      <c r="C875" s="46" t="n"/>
      <c r="D875" s="47" t="n"/>
      <c r="E875" s="47" t="n"/>
      <c r="F875" s="47" t="n"/>
      <c r="G875" s="47" t="n"/>
      <c r="H875" s="47" t="n"/>
      <c r="I875" s="47" t="n"/>
      <c r="J875" s="40" t="n"/>
    </row>
    <row r="876">
      <c r="A876" s="16">
        <f>IF($B876="","",COUNTA($B$4:$B876))</f>
        <v/>
      </c>
      <c r="B876" s="71" t="n"/>
      <c r="C876" s="44" t="n"/>
      <c r="D876" s="45" t="n"/>
      <c r="E876" s="45" t="n"/>
      <c r="F876" s="45" t="n"/>
      <c r="G876" s="45" t="n"/>
      <c r="H876" s="45" t="n"/>
      <c r="I876" s="45" t="n"/>
      <c r="J876" s="38" t="n"/>
    </row>
    <row r="877">
      <c r="A877" s="16">
        <f>IF($B877="","",COUNTA($B$4:$B877))</f>
        <v/>
      </c>
      <c r="B877" s="72" t="n"/>
      <c r="C877" s="46" t="n"/>
      <c r="D877" s="47" t="n"/>
      <c r="E877" s="47" t="n"/>
      <c r="F877" s="47" t="n"/>
      <c r="G877" s="47" t="n"/>
      <c r="H877" s="47" t="n"/>
      <c r="I877" s="47" t="n"/>
      <c r="J877" s="40" t="n"/>
    </row>
    <row r="878">
      <c r="A878" s="16">
        <f>IF($B878="","",COUNTA($B$4:$B878))</f>
        <v/>
      </c>
      <c r="B878" s="71" t="n"/>
      <c r="C878" s="44" t="n"/>
      <c r="D878" s="45" t="n"/>
      <c r="E878" s="45" t="n"/>
      <c r="F878" s="45" t="n"/>
      <c r="G878" s="45" t="n"/>
      <c r="H878" s="45" t="n"/>
      <c r="I878" s="45" t="n"/>
      <c r="J878" s="38" t="n"/>
    </row>
    <row r="879">
      <c r="A879" s="16">
        <f>IF($B879="","",COUNTA($B$4:$B879))</f>
        <v/>
      </c>
      <c r="B879" s="72" t="n"/>
      <c r="C879" s="46" t="n"/>
      <c r="D879" s="47" t="n"/>
      <c r="E879" s="47" t="n"/>
      <c r="F879" s="47" t="n"/>
      <c r="G879" s="47" t="n"/>
      <c r="H879" s="47" t="n"/>
      <c r="I879" s="47" t="n"/>
      <c r="J879" s="40" t="n"/>
    </row>
    <row r="880">
      <c r="A880" s="16">
        <f>IF($B880="","",COUNTA($B$4:$B880))</f>
        <v/>
      </c>
      <c r="B880" s="71" t="n"/>
      <c r="C880" s="44" t="n"/>
      <c r="D880" s="45" t="n"/>
      <c r="E880" s="45" t="n"/>
      <c r="F880" s="45" t="n"/>
      <c r="G880" s="45" t="n"/>
      <c r="H880" s="45" t="n"/>
      <c r="I880" s="45" t="n"/>
      <c r="J880" s="38" t="n"/>
    </row>
    <row r="881">
      <c r="A881" s="16">
        <f>IF($B881="","",COUNTA($B$4:$B881))</f>
        <v/>
      </c>
      <c r="B881" s="72" t="n"/>
      <c r="C881" s="46" t="n"/>
      <c r="D881" s="47" t="n"/>
      <c r="E881" s="47" t="n"/>
      <c r="F881" s="47" t="n"/>
      <c r="G881" s="47" t="n"/>
      <c r="H881" s="47" t="n"/>
      <c r="I881" s="47" t="n"/>
      <c r="J881" s="40" t="n"/>
    </row>
    <row r="882">
      <c r="A882" s="16">
        <f>IF($B882="","",COUNTA($B$4:$B882))</f>
        <v/>
      </c>
      <c r="B882" s="71" t="n"/>
      <c r="C882" s="44" t="n"/>
      <c r="D882" s="45" t="n"/>
      <c r="E882" s="45" t="n"/>
      <c r="F882" s="45" t="n"/>
      <c r="G882" s="45" t="n"/>
      <c r="H882" s="45" t="n"/>
      <c r="I882" s="45" t="n"/>
      <c r="J882" s="38" t="n"/>
    </row>
    <row r="883">
      <c r="A883" s="16">
        <f>IF($B883="","",COUNTA($B$4:$B883))</f>
        <v/>
      </c>
      <c r="B883" s="72" t="n"/>
      <c r="C883" s="46" t="n"/>
      <c r="D883" s="47" t="n"/>
      <c r="E883" s="47" t="n"/>
      <c r="F883" s="47" t="n"/>
      <c r="G883" s="47" t="n"/>
      <c r="H883" s="47" t="n"/>
      <c r="I883" s="47" t="n"/>
      <c r="J883" s="40" t="n"/>
    </row>
    <row r="884">
      <c r="A884" s="16">
        <f>IF($B884="","",COUNTA($B$4:$B884))</f>
        <v/>
      </c>
      <c r="B884" s="71" t="n"/>
      <c r="C884" s="44" t="n"/>
      <c r="D884" s="45" t="n"/>
      <c r="E884" s="45" t="n"/>
      <c r="F884" s="45" t="n"/>
      <c r="G884" s="45" t="n"/>
      <c r="H884" s="45" t="n"/>
      <c r="I884" s="45" t="n"/>
      <c r="J884" s="38" t="n"/>
    </row>
    <row r="885">
      <c r="A885" s="16">
        <f>IF($B885="","",COUNTA($B$4:$B885))</f>
        <v/>
      </c>
      <c r="B885" s="72" t="n"/>
      <c r="C885" s="46" t="n"/>
      <c r="D885" s="47" t="n"/>
      <c r="E885" s="47" t="n"/>
      <c r="F885" s="47" t="n"/>
      <c r="G885" s="47" t="n"/>
      <c r="H885" s="47" t="n"/>
      <c r="I885" s="47" t="n"/>
      <c r="J885" s="40" t="n"/>
    </row>
    <row r="886">
      <c r="A886" s="16">
        <f>IF($B886="","",COUNTA($B$4:$B886))</f>
        <v/>
      </c>
      <c r="B886" s="71" t="n"/>
      <c r="C886" s="44" t="n"/>
      <c r="D886" s="45" t="n"/>
      <c r="E886" s="45" t="n"/>
      <c r="F886" s="45" t="n"/>
      <c r="G886" s="45" t="n"/>
      <c r="H886" s="45" t="n"/>
      <c r="I886" s="45" t="n"/>
      <c r="J886" s="38" t="n"/>
    </row>
    <row r="887">
      <c r="A887" s="16">
        <f>IF($B887="","",COUNTA($B$4:$B887))</f>
        <v/>
      </c>
      <c r="B887" s="72" t="n"/>
      <c r="C887" s="46" t="n"/>
      <c r="D887" s="47" t="n"/>
      <c r="E887" s="47" t="n"/>
      <c r="F887" s="47" t="n"/>
      <c r="G887" s="47" t="n"/>
      <c r="H887" s="47" t="n"/>
      <c r="I887" s="47" t="n"/>
      <c r="J887" s="40" t="n"/>
    </row>
    <row r="888">
      <c r="A888" s="16">
        <f>IF($B888="","",COUNTA($B$4:$B888))</f>
        <v/>
      </c>
      <c r="B888" s="71" t="n"/>
      <c r="C888" s="44" t="n"/>
      <c r="D888" s="45" t="n"/>
      <c r="E888" s="45" t="n"/>
      <c r="F888" s="45" t="n"/>
      <c r="G888" s="45" t="n"/>
      <c r="H888" s="45" t="n"/>
      <c r="I888" s="45" t="n"/>
      <c r="J888" s="38" t="n"/>
    </row>
    <row r="889">
      <c r="A889" s="16">
        <f>IF($B889="","",COUNTA($B$4:$B889))</f>
        <v/>
      </c>
      <c r="B889" s="72" t="n"/>
      <c r="C889" s="46" t="n"/>
      <c r="D889" s="47" t="n"/>
      <c r="E889" s="47" t="n"/>
      <c r="F889" s="47" t="n"/>
      <c r="G889" s="47" t="n"/>
      <c r="H889" s="47" t="n"/>
      <c r="I889" s="47" t="n"/>
      <c r="J889" s="40" t="n"/>
    </row>
    <row r="890">
      <c r="A890" s="16">
        <f>IF($B890="","",COUNTA($B$4:$B890))</f>
        <v/>
      </c>
      <c r="B890" s="71" t="n"/>
      <c r="C890" s="44" t="n"/>
      <c r="D890" s="45" t="n"/>
      <c r="E890" s="45" t="n"/>
      <c r="F890" s="45" t="n"/>
      <c r="G890" s="45" t="n"/>
      <c r="H890" s="45" t="n"/>
      <c r="I890" s="45" t="n"/>
      <c r="J890" s="38" t="n"/>
    </row>
    <row r="891">
      <c r="A891" s="16">
        <f>IF($B891="","",COUNTA($B$4:$B891))</f>
        <v/>
      </c>
      <c r="B891" s="72" t="n"/>
      <c r="C891" s="46" t="n"/>
      <c r="D891" s="47" t="n"/>
      <c r="E891" s="47" t="n"/>
      <c r="F891" s="47" t="n"/>
      <c r="G891" s="47" t="n"/>
      <c r="H891" s="47" t="n"/>
      <c r="I891" s="47" t="n"/>
      <c r="J891" s="40" t="n"/>
    </row>
    <row r="892">
      <c r="A892" s="16">
        <f>IF($B892="","",COUNTA($B$4:$B892))</f>
        <v/>
      </c>
      <c r="B892" s="71" t="n"/>
      <c r="C892" s="44" t="n"/>
      <c r="D892" s="45" t="n"/>
      <c r="E892" s="45" t="n"/>
      <c r="F892" s="45" t="n"/>
      <c r="G892" s="45" t="n"/>
      <c r="H892" s="45" t="n"/>
      <c r="I892" s="45" t="n"/>
      <c r="J892" s="38" t="n"/>
    </row>
    <row r="893">
      <c r="A893" s="16">
        <f>IF($B893="","",COUNTA($B$4:$B893))</f>
        <v/>
      </c>
      <c r="B893" s="72" t="n"/>
      <c r="C893" s="46" t="n"/>
      <c r="D893" s="47" t="n"/>
      <c r="E893" s="47" t="n"/>
      <c r="F893" s="47" t="n"/>
      <c r="G893" s="47" t="n"/>
      <c r="H893" s="47" t="n"/>
      <c r="I893" s="47" t="n"/>
      <c r="J893" s="40" t="n"/>
    </row>
    <row r="894">
      <c r="A894" s="16">
        <f>IF($B894="","",COUNTA($B$4:$B894))</f>
        <v/>
      </c>
      <c r="B894" s="71" t="n"/>
      <c r="C894" s="44" t="n"/>
      <c r="D894" s="45" t="n"/>
      <c r="E894" s="45" t="n"/>
      <c r="F894" s="45" t="n"/>
      <c r="G894" s="45" t="n"/>
      <c r="H894" s="45" t="n"/>
      <c r="I894" s="45" t="n"/>
      <c r="J894" s="38" t="n"/>
    </row>
    <row r="895">
      <c r="A895" s="16">
        <f>IF($B895="","",COUNTA($B$4:$B895))</f>
        <v/>
      </c>
      <c r="B895" s="72" t="n"/>
      <c r="C895" s="46" t="n"/>
      <c r="D895" s="47" t="n"/>
      <c r="E895" s="47" t="n"/>
      <c r="F895" s="47" t="n"/>
      <c r="G895" s="47" t="n"/>
      <c r="H895" s="47" t="n"/>
      <c r="I895" s="47" t="n"/>
      <c r="J895" s="40" t="n"/>
    </row>
    <row r="896">
      <c r="A896" s="16">
        <f>IF($B896="","",COUNTA($B$4:$B896))</f>
        <v/>
      </c>
      <c r="B896" s="71" t="n"/>
      <c r="C896" s="44" t="n"/>
      <c r="D896" s="45" t="n"/>
      <c r="E896" s="45" t="n"/>
      <c r="F896" s="45" t="n"/>
      <c r="G896" s="45" t="n"/>
      <c r="H896" s="45" t="n"/>
      <c r="I896" s="45" t="n"/>
      <c r="J896" s="38" t="n"/>
    </row>
    <row r="897">
      <c r="A897" s="16">
        <f>IF($B897="","",COUNTA($B$4:$B897))</f>
        <v/>
      </c>
      <c r="B897" s="72" t="n"/>
      <c r="C897" s="46" t="n"/>
      <c r="D897" s="47" t="n"/>
      <c r="E897" s="47" t="n"/>
      <c r="F897" s="47" t="n"/>
      <c r="G897" s="47" t="n"/>
      <c r="H897" s="47" t="n"/>
      <c r="I897" s="47" t="n"/>
      <c r="J897" s="40" t="n"/>
    </row>
    <row r="898">
      <c r="A898" s="16">
        <f>IF($B898="","",COUNTA($B$4:$B898))</f>
        <v/>
      </c>
      <c r="B898" s="71" t="n"/>
      <c r="C898" s="44" t="n"/>
      <c r="D898" s="45" t="n"/>
      <c r="E898" s="45" t="n"/>
      <c r="F898" s="45" t="n"/>
      <c r="G898" s="45" t="n"/>
      <c r="H898" s="45" t="n"/>
      <c r="I898" s="45" t="n"/>
      <c r="J898" s="38" t="n"/>
    </row>
    <row r="899">
      <c r="A899" s="16">
        <f>IF($B899="","",COUNTA($B$4:$B899))</f>
        <v/>
      </c>
      <c r="B899" s="72" t="n"/>
      <c r="C899" s="46" t="n"/>
      <c r="D899" s="47" t="n"/>
      <c r="E899" s="47" t="n"/>
      <c r="F899" s="47" t="n"/>
      <c r="G899" s="47" t="n"/>
      <c r="H899" s="47" t="n"/>
      <c r="I899" s="47" t="n"/>
      <c r="J899" s="40" t="n"/>
    </row>
    <row r="900">
      <c r="A900" s="16">
        <f>IF($B900="","",COUNTA($B$4:$B900))</f>
        <v/>
      </c>
      <c r="B900" s="71" t="n"/>
      <c r="C900" s="44" t="n"/>
      <c r="D900" s="45" t="n"/>
      <c r="E900" s="45" t="n"/>
      <c r="F900" s="45" t="n"/>
      <c r="G900" s="45" t="n"/>
      <c r="H900" s="45" t="n"/>
      <c r="I900" s="45" t="n"/>
      <c r="J900" s="38" t="n"/>
    </row>
    <row r="901">
      <c r="A901" s="16">
        <f>IF($B901="","",COUNTA($B$4:$B901))</f>
        <v/>
      </c>
      <c r="B901" s="72" t="n"/>
      <c r="C901" s="46" t="n"/>
      <c r="D901" s="47" t="n"/>
      <c r="E901" s="47" t="n"/>
      <c r="F901" s="47" t="n"/>
      <c r="G901" s="47" t="n"/>
      <c r="H901" s="47" t="n"/>
      <c r="I901" s="47" t="n"/>
      <c r="J901" s="40" t="n"/>
    </row>
    <row r="902">
      <c r="A902" s="16">
        <f>IF($B902="","",COUNTA($B$4:$B902))</f>
        <v/>
      </c>
      <c r="B902" s="71" t="n"/>
      <c r="C902" s="44" t="n"/>
      <c r="D902" s="45" t="n"/>
      <c r="E902" s="45" t="n"/>
      <c r="F902" s="45" t="n"/>
      <c r="G902" s="45" t="n"/>
      <c r="H902" s="45" t="n"/>
      <c r="I902" s="45" t="n"/>
      <c r="J902" s="38" t="n"/>
    </row>
    <row r="903">
      <c r="A903" s="16">
        <f>IF($B903="","",COUNTA($B$4:$B903))</f>
        <v/>
      </c>
      <c r="B903" s="72" t="n"/>
      <c r="C903" s="46" t="n"/>
      <c r="D903" s="47" t="n"/>
      <c r="E903" s="47" t="n"/>
      <c r="F903" s="47" t="n"/>
      <c r="G903" s="47" t="n"/>
      <c r="H903" s="47" t="n"/>
      <c r="I903" s="47" t="n"/>
      <c r="J903" s="40" t="n"/>
    </row>
    <row r="904">
      <c r="A904" s="16">
        <f>IF($B904="","",COUNTA($B$4:$B904))</f>
        <v/>
      </c>
      <c r="B904" s="71" t="n"/>
      <c r="C904" s="44" t="n"/>
      <c r="D904" s="45" t="n"/>
      <c r="E904" s="45" t="n"/>
      <c r="F904" s="45" t="n"/>
      <c r="G904" s="45" t="n"/>
      <c r="H904" s="45" t="n"/>
      <c r="I904" s="45" t="n"/>
      <c r="J904" s="38" t="n"/>
    </row>
    <row r="905">
      <c r="A905" s="16">
        <f>IF($B905="","",COUNTA($B$4:$B905))</f>
        <v/>
      </c>
      <c r="B905" s="72" t="n"/>
      <c r="C905" s="46" t="n"/>
      <c r="D905" s="47" t="n"/>
      <c r="E905" s="47" t="n"/>
      <c r="F905" s="47" t="n"/>
      <c r="G905" s="47" t="n"/>
      <c r="H905" s="47" t="n"/>
      <c r="I905" s="47" t="n"/>
      <c r="J905" s="40" t="n"/>
    </row>
    <row r="906">
      <c r="A906" s="16">
        <f>IF($B906="","",COUNTA($B$4:$B906))</f>
        <v/>
      </c>
      <c r="B906" s="71" t="n"/>
      <c r="C906" s="44" t="n"/>
      <c r="D906" s="45" t="n"/>
      <c r="E906" s="45" t="n"/>
      <c r="F906" s="45" t="n"/>
      <c r="G906" s="45" t="n"/>
      <c r="H906" s="45" t="n"/>
      <c r="I906" s="45" t="n"/>
      <c r="J906" s="38" t="n"/>
    </row>
    <row r="907">
      <c r="A907" s="16">
        <f>IF($B907="","",COUNTA($B$4:$B907))</f>
        <v/>
      </c>
      <c r="B907" s="72" t="n"/>
      <c r="C907" s="46" t="n"/>
      <c r="D907" s="47" t="n"/>
      <c r="E907" s="47" t="n"/>
      <c r="F907" s="47" t="n"/>
      <c r="G907" s="47" t="n"/>
      <c r="H907" s="47" t="n"/>
      <c r="I907" s="47" t="n"/>
      <c r="J907" s="40" t="n"/>
    </row>
    <row r="908">
      <c r="A908" s="16">
        <f>IF($B908="","",COUNTA($B$4:$B908))</f>
        <v/>
      </c>
      <c r="B908" s="71" t="n"/>
      <c r="C908" s="44" t="n"/>
      <c r="D908" s="45" t="n"/>
      <c r="E908" s="45" t="n"/>
      <c r="F908" s="45" t="n"/>
      <c r="G908" s="45" t="n"/>
      <c r="H908" s="45" t="n"/>
      <c r="I908" s="45" t="n"/>
      <c r="J908" s="38" t="n"/>
    </row>
    <row r="909">
      <c r="A909" s="16">
        <f>IF($B909="","",COUNTA($B$4:$B909))</f>
        <v/>
      </c>
      <c r="B909" s="72" t="n"/>
      <c r="C909" s="46" t="n"/>
      <c r="D909" s="47" t="n"/>
      <c r="E909" s="47" t="n"/>
      <c r="F909" s="47" t="n"/>
      <c r="G909" s="47" t="n"/>
      <c r="H909" s="47" t="n"/>
      <c r="I909" s="47" t="n"/>
      <c r="J909" s="40" t="n"/>
    </row>
    <row r="910">
      <c r="A910" s="16">
        <f>IF($B910="","",COUNTA($B$4:$B910))</f>
        <v/>
      </c>
      <c r="B910" s="71" t="n"/>
      <c r="C910" s="44" t="n"/>
      <c r="D910" s="45" t="n"/>
      <c r="E910" s="45" t="n"/>
      <c r="F910" s="45" t="n"/>
      <c r="G910" s="45" t="n"/>
      <c r="H910" s="45" t="n"/>
      <c r="I910" s="45" t="n"/>
      <c r="J910" s="38" t="n"/>
    </row>
    <row r="911">
      <c r="A911" s="16">
        <f>IF($B911="","",COUNTA($B$4:$B911))</f>
        <v/>
      </c>
      <c r="B911" s="72" t="n"/>
      <c r="C911" s="46" t="n"/>
      <c r="D911" s="47" t="n"/>
      <c r="E911" s="47" t="n"/>
      <c r="F911" s="47" t="n"/>
      <c r="G911" s="47" t="n"/>
      <c r="H911" s="47" t="n"/>
      <c r="I911" s="47" t="n"/>
      <c r="J911" s="40" t="n"/>
    </row>
    <row r="912">
      <c r="A912" s="16">
        <f>IF($B912="","",COUNTA($B$4:$B912))</f>
        <v/>
      </c>
      <c r="B912" s="71" t="n"/>
      <c r="C912" s="44" t="n"/>
      <c r="D912" s="45" t="n"/>
      <c r="E912" s="45" t="n"/>
      <c r="F912" s="45" t="n"/>
      <c r="G912" s="45" t="n"/>
      <c r="H912" s="45" t="n"/>
      <c r="I912" s="45" t="n"/>
      <c r="J912" s="38" t="n"/>
    </row>
    <row r="913">
      <c r="A913" s="16">
        <f>IF($B913="","",COUNTA($B$4:$B913))</f>
        <v/>
      </c>
      <c r="B913" s="72" t="n"/>
      <c r="C913" s="46" t="n"/>
      <c r="D913" s="47" t="n"/>
      <c r="E913" s="47" t="n"/>
      <c r="F913" s="47" t="n"/>
      <c r="G913" s="47" t="n"/>
      <c r="H913" s="47" t="n"/>
      <c r="I913" s="47" t="n"/>
      <c r="J913" s="40" t="n"/>
    </row>
    <row r="914">
      <c r="A914" s="16">
        <f>IF($B914="","",COUNTA($B$4:$B914))</f>
        <v/>
      </c>
      <c r="B914" s="71" t="n"/>
      <c r="C914" s="44" t="n"/>
      <c r="D914" s="45" t="n"/>
      <c r="E914" s="45" t="n"/>
      <c r="F914" s="45" t="n"/>
      <c r="G914" s="45" t="n"/>
      <c r="H914" s="45" t="n"/>
      <c r="I914" s="45" t="n"/>
      <c r="J914" s="38" t="n"/>
    </row>
    <row r="915">
      <c r="A915" s="16">
        <f>IF($B915="","",COUNTA($B$4:$B915))</f>
        <v/>
      </c>
      <c r="B915" s="72" t="n"/>
      <c r="C915" s="46" t="n"/>
      <c r="D915" s="47" t="n"/>
      <c r="E915" s="47" t="n"/>
      <c r="F915" s="47" t="n"/>
      <c r="G915" s="47" t="n"/>
      <c r="H915" s="47" t="n"/>
      <c r="I915" s="47" t="n"/>
      <c r="J915" s="40" t="n"/>
    </row>
    <row r="916">
      <c r="A916" s="16">
        <f>IF($B916="","",COUNTA($B$4:$B916))</f>
        <v/>
      </c>
      <c r="B916" s="71" t="n"/>
      <c r="C916" s="44" t="n"/>
      <c r="D916" s="45" t="n"/>
      <c r="E916" s="45" t="n"/>
      <c r="F916" s="45" t="n"/>
      <c r="G916" s="45" t="n"/>
      <c r="H916" s="45" t="n"/>
      <c r="I916" s="45" t="n"/>
      <c r="J916" s="38" t="n"/>
    </row>
    <row r="917">
      <c r="A917" s="16">
        <f>IF($B917="","",COUNTA($B$4:$B917))</f>
        <v/>
      </c>
      <c r="B917" s="72" t="n"/>
      <c r="C917" s="46" t="n"/>
      <c r="D917" s="47" t="n"/>
      <c r="E917" s="47" t="n"/>
      <c r="F917" s="47" t="n"/>
      <c r="G917" s="47" t="n"/>
      <c r="H917" s="47" t="n"/>
      <c r="I917" s="47" t="n"/>
      <c r="J917" s="40" t="n"/>
    </row>
    <row r="918">
      <c r="A918" s="16">
        <f>IF($B918="","",COUNTA($B$4:$B918))</f>
        <v/>
      </c>
      <c r="B918" s="71" t="n"/>
      <c r="C918" s="44" t="n"/>
      <c r="D918" s="45" t="n"/>
      <c r="E918" s="45" t="n"/>
      <c r="F918" s="45" t="n"/>
      <c r="G918" s="45" t="n"/>
      <c r="H918" s="45" t="n"/>
      <c r="I918" s="45" t="n"/>
      <c r="J918" s="38" t="n"/>
    </row>
    <row r="919">
      <c r="A919" s="16">
        <f>IF($B919="","",COUNTA($B$4:$B919))</f>
        <v/>
      </c>
      <c r="B919" s="72" t="n"/>
      <c r="C919" s="46" t="n"/>
      <c r="D919" s="47" t="n"/>
      <c r="E919" s="47" t="n"/>
      <c r="F919" s="47" t="n"/>
      <c r="G919" s="47" t="n"/>
      <c r="H919" s="47" t="n"/>
      <c r="I919" s="47" t="n"/>
      <c r="J919" s="40" t="n"/>
    </row>
    <row r="920">
      <c r="A920" s="16">
        <f>IF($B920="","",COUNTA($B$4:$B920))</f>
        <v/>
      </c>
      <c r="B920" s="71" t="n"/>
      <c r="C920" s="44" t="n"/>
      <c r="D920" s="45" t="n"/>
      <c r="E920" s="45" t="n"/>
      <c r="F920" s="45" t="n"/>
      <c r="G920" s="45" t="n"/>
      <c r="H920" s="45" t="n"/>
      <c r="I920" s="45" t="n"/>
      <c r="J920" s="38" t="n"/>
    </row>
    <row r="921">
      <c r="A921" s="16">
        <f>IF($B921="","",COUNTA($B$4:$B921))</f>
        <v/>
      </c>
      <c r="B921" s="72" t="n"/>
      <c r="C921" s="46" t="n"/>
      <c r="D921" s="47" t="n"/>
      <c r="E921" s="47" t="n"/>
      <c r="F921" s="47" t="n"/>
      <c r="G921" s="47" t="n"/>
      <c r="H921" s="47" t="n"/>
      <c r="I921" s="47" t="n"/>
      <c r="J921" s="40" t="n"/>
    </row>
    <row r="922">
      <c r="A922" s="16">
        <f>IF($B922="","",COUNTA($B$4:$B922))</f>
        <v/>
      </c>
      <c r="B922" s="71" t="n"/>
      <c r="C922" s="44" t="n"/>
      <c r="D922" s="45" t="n"/>
      <c r="E922" s="45" t="n"/>
      <c r="F922" s="45" t="n"/>
      <c r="G922" s="45" t="n"/>
      <c r="H922" s="45" t="n"/>
      <c r="I922" s="45" t="n"/>
      <c r="J922" s="38" t="n"/>
    </row>
    <row r="923">
      <c r="A923" s="16">
        <f>IF($B923="","",COUNTA($B$4:$B923))</f>
        <v/>
      </c>
      <c r="B923" s="72" t="n"/>
      <c r="C923" s="46" t="n"/>
      <c r="D923" s="47" t="n"/>
      <c r="E923" s="47" t="n"/>
      <c r="F923" s="47" t="n"/>
      <c r="G923" s="47" t="n"/>
      <c r="H923" s="47" t="n"/>
      <c r="I923" s="47" t="n"/>
      <c r="J923" s="40" t="n"/>
    </row>
    <row r="924">
      <c r="A924" s="16">
        <f>IF($B924="","",COUNTA($B$4:$B924))</f>
        <v/>
      </c>
      <c r="B924" s="71" t="n"/>
      <c r="C924" s="44" t="n"/>
      <c r="D924" s="45" t="n"/>
      <c r="E924" s="45" t="n"/>
      <c r="F924" s="45" t="n"/>
      <c r="G924" s="45" t="n"/>
      <c r="H924" s="45" t="n"/>
      <c r="I924" s="45" t="n"/>
      <c r="J924" s="38" t="n"/>
    </row>
    <row r="925">
      <c r="A925" s="16">
        <f>IF($B925="","",COUNTA($B$4:$B925))</f>
        <v/>
      </c>
      <c r="B925" s="72" t="n"/>
      <c r="C925" s="46" t="n"/>
      <c r="D925" s="47" t="n"/>
      <c r="E925" s="47" t="n"/>
      <c r="F925" s="47" t="n"/>
      <c r="G925" s="47" t="n"/>
      <c r="H925" s="47" t="n"/>
      <c r="I925" s="47" t="n"/>
      <c r="J925" s="40" t="n"/>
    </row>
    <row r="926">
      <c r="A926" s="16">
        <f>IF($B926="","",COUNTA($B$4:$B926))</f>
        <v/>
      </c>
      <c r="B926" s="71" t="n"/>
      <c r="C926" s="44" t="n"/>
      <c r="D926" s="45" t="n"/>
      <c r="E926" s="45" t="n"/>
      <c r="F926" s="45" t="n"/>
      <c r="G926" s="45" t="n"/>
      <c r="H926" s="45" t="n"/>
      <c r="I926" s="45" t="n"/>
      <c r="J926" s="38" t="n"/>
    </row>
    <row r="927">
      <c r="A927" s="16">
        <f>IF($B927="","",COUNTA($B$4:$B927))</f>
        <v/>
      </c>
      <c r="B927" s="72" t="n"/>
      <c r="C927" s="46" t="n"/>
      <c r="D927" s="47" t="n"/>
      <c r="E927" s="47" t="n"/>
      <c r="F927" s="47" t="n"/>
      <c r="G927" s="47" t="n"/>
      <c r="H927" s="47" t="n"/>
      <c r="I927" s="47" t="n"/>
      <c r="J927" s="40" t="n"/>
    </row>
    <row r="928">
      <c r="A928" s="16">
        <f>IF($B928="","",COUNTA($B$4:$B928))</f>
        <v/>
      </c>
      <c r="B928" s="71" t="n"/>
      <c r="C928" s="44" t="n"/>
      <c r="D928" s="45" t="n"/>
      <c r="E928" s="45" t="n"/>
      <c r="F928" s="45" t="n"/>
      <c r="G928" s="45" t="n"/>
      <c r="H928" s="45" t="n"/>
      <c r="I928" s="45" t="n"/>
      <c r="J928" s="38" t="n"/>
    </row>
    <row r="929">
      <c r="A929" s="16">
        <f>IF($B929="","",COUNTA($B$4:$B929))</f>
        <v/>
      </c>
      <c r="B929" s="72" t="n"/>
      <c r="C929" s="46" t="n"/>
      <c r="D929" s="47" t="n"/>
      <c r="E929" s="47" t="n"/>
      <c r="F929" s="47" t="n"/>
      <c r="G929" s="47" t="n"/>
      <c r="H929" s="47" t="n"/>
      <c r="I929" s="47" t="n"/>
      <c r="J929" s="40" t="n"/>
    </row>
    <row r="930">
      <c r="A930" s="16">
        <f>IF($B930="","",COUNTA($B$4:$B930))</f>
        <v/>
      </c>
      <c r="B930" s="71" t="n"/>
      <c r="C930" s="44" t="n"/>
      <c r="D930" s="45" t="n"/>
      <c r="E930" s="45" t="n"/>
      <c r="F930" s="45" t="n"/>
      <c r="G930" s="45" t="n"/>
      <c r="H930" s="45" t="n"/>
      <c r="I930" s="45" t="n"/>
      <c r="J930" s="38" t="n"/>
    </row>
    <row r="931">
      <c r="A931" s="16">
        <f>IF($B931="","",COUNTA($B$4:$B931))</f>
        <v/>
      </c>
      <c r="B931" s="72" t="n"/>
      <c r="C931" s="46" t="n"/>
      <c r="D931" s="47" t="n"/>
      <c r="E931" s="47" t="n"/>
      <c r="F931" s="47" t="n"/>
      <c r="G931" s="47" t="n"/>
      <c r="H931" s="47" t="n"/>
      <c r="I931" s="47" t="n"/>
      <c r="J931" s="40" t="n"/>
    </row>
    <row r="932">
      <c r="A932" s="16">
        <f>IF($B932="","",COUNTA($B$4:$B932))</f>
        <v/>
      </c>
      <c r="B932" s="71" t="n"/>
      <c r="C932" s="44" t="n"/>
      <c r="D932" s="45" t="n"/>
      <c r="E932" s="45" t="n"/>
      <c r="F932" s="45" t="n"/>
      <c r="G932" s="45" t="n"/>
      <c r="H932" s="45" t="n"/>
      <c r="I932" s="45" t="n"/>
      <c r="J932" s="38" t="n"/>
    </row>
    <row r="933">
      <c r="A933" s="16">
        <f>IF($B933="","",COUNTA($B$4:$B933))</f>
        <v/>
      </c>
      <c r="B933" s="72" t="n"/>
      <c r="C933" s="46" t="n"/>
      <c r="D933" s="47" t="n"/>
      <c r="E933" s="47" t="n"/>
      <c r="F933" s="47" t="n"/>
      <c r="G933" s="47" t="n"/>
      <c r="H933" s="47" t="n"/>
      <c r="I933" s="47" t="n"/>
      <c r="J933" s="40" t="n"/>
    </row>
    <row r="934">
      <c r="A934" s="16">
        <f>IF($B934="","",COUNTA($B$4:$B934))</f>
        <v/>
      </c>
      <c r="B934" s="71" t="n"/>
      <c r="C934" s="44" t="n"/>
      <c r="D934" s="45" t="n"/>
      <c r="E934" s="45" t="n"/>
      <c r="F934" s="45" t="n"/>
      <c r="G934" s="45" t="n"/>
      <c r="H934" s="45" t="n"/>
      <c r="I934" s="45" t="n"/>
      <c r="J934" s="38" t="n"/>
    </row>
    <row r="935">
      <c r="A935" s="16">
        <f>IF($B935="","",COUNTA($B$4:$B935))</f>
        <v/>
      </c>
      <c r="B935" s="72" t="n"/>
      <c r="C935" s="46" t="n"/>
      <c r="D935" s="47" t="n"/>
      <c r="E935" s="47" t="n"/>
      <c r="F935" s="47" t="n"/>
      <c r="G935" s="47" t="n"/>
      <c r="H935" s="47" t="n"/>
      <c r="I935" s="47" t="n"/>
      <c r="J935" s="40" t="n"/>
    </row>
    <row r="936">
      <c r="A936" s="16">
        <f>IF($B936="","",COUNTA($B$4:$B936))</f>
        <v/>
      </c>
      <c r="B936" s="71" t="n"/>
      <c r="C936" s="44" t="n"/>
      <c r="D936" s="45" t="n"/>
      <c r="E936" s="45" t="n"/>
      <c r="F936" s="45" t="n"/>
      <c r="G936" s="45" t="n"/>
      <c r="H936" s="45" t="n"/>
      <c r="I936" s="45" t="n"/>
      <c r="J936" s="38" t="n"/>
    </row>
    <row r="937">
      <c r="A937" s="16">
        <f>IF($B937="","",COUNTA($B$4:$B937))</f>
        <v/>
      </c>
      <c r="B937" s="72" t="n"/>
      <c r="C937" s="46" t="n"/>
      <c r="D937" s="47" t="n"/>
      <c r="E937" s="47" t="n"/>
      <c r="F937" s="47" t="n"/>
      <c r="G937" s="47" t="n"/>
      <c r="H937" s="47" t="n"/>
      <c r="I937" s="47" t="n"/>
      <c r="J937" s="40" t="n"/>
    </row>
    <row r="938">
      <c r="A938" s="16">
        <f>IF($B938="","",COUNTA($B$4:$B938))</f>
        <v/>
      </c>
      <c r="B938" s="71" t="n"/>
      <c r="C938" s="44" t="n"/>
      <c r="D938" s="45" t="n"/>
      <c r="E938" s="45" t="n"/>
      <c r="F938" s="45" t="n"/>
      <c r="G938" s="45" t="n"/>
      <c r="H938" s="45" t="n"/>
      <c r="I938" s="45" t="n"/>
      <c r="J938" s="38" t="n"/>
    </row>
    <row r="939">
      <c r="A939" s="16">
        <f>IF($B939="","",COUNTA($B$4:$B939))</f>
        <v/>
      </c>
      <c r="B939" s="72" t="n"/>
      <c r="C939" s="46" t="n"/>
      <c r="D939" s="47" t="n"/>
      <c r="E939" s="47" t="n"/>
      <c r="F939" s="47" t="n"/>
      <c r="G939" s="47" t="n"/>
      <c r="H939" s="47" t="n"/>
      <c r="I939" s="47" t="n"/>
      <c r="J939" s="40" t="n"/>
    </row>
    <row r="940">
      <c r="A940" s="16">
        <f>IF($B940="","",COUNTA($B$4:$B940))</f>
        <v/>
      </c>
      <c r="B940" s="71" t="n"/>
      <c r="C940" s="44" t="n"/>
      <c r="D940" s="45" t="n"/>
      <c r="E940" s="45" t="n"/>
      <c r="F940" s="45" t="n"/>
      <c r="G940" s="45" t="n"/>
      <c r="H940" s="45" t="n"/>
      <c r="I940" s="45" t="n"/>
      <c r="J940" s="38" t="n"/>
    </row>
    <row r="941">
      <c r="A941" s="16">
        <f>IF($B941="","",COUNTA($B$4:$B941))</f>
        <v/>
      </c>
      <c r="B941" s="72" t="n"/>
      <c r="C941" s="46" t="n"/>
      <c r="D941" s="47" t="n"/>
      <c r="E941" s="47" t="n"/>
      <c r="F941" s="47" t="n"/>
      <c r="G941" s="47" t="n"/>
      <c r="H941" s="47" t="n"/>
      <c r="I941" s="47" t="n"/>
      <c r="J941" s="40" t="n"/>
    </row>
    <row r="942">
      <c r="A942" s="16">
        <f>IF($B942="","",COUNTA($B$4:$B942))</f>
        <v/>
      </c>
      <c r="B942" s="71" t="n"/>
      <c r="C942" s="44" t="n"/>
      <c r="D942" s="45" t="n"/>
      <c r="E942" s="45" t="n"/>
      <c r="F942" s="45" t="n"/>
      <c r="G942" s="45" t="n"/>
      <c r="H942" s="45" t="n"/>
      <c r="I942" s="45" t="n"/>
      <c r="J942" s="38" t="n"/>
    </row>
    <row r="943">
      <c r="A943" s="16">
        <f>IF($B943="","",COUNTA($B$4:$B943))</f>
        <v/>
      </c>
      <c r="B943" s="72" t="n"/>
      <c r="C943" s="46" t="n"/>
      <c r="D943" s="47" t="n"/>
      <c r="E943" s="47" t="n"/>
      <c r="F943" s="47" t="n"/>
      <c r="G943" s="47" t="n"/>
      <c r="H943" s="47" t="n"/>
      <c r="I943" s="47" t="n"/>
      <c r="J943" s="40" t="n"/>
    </row>
    <row r="944">
      <c r="A944" s="16">
        <f>IF($B944="","",COUNTA($B$4:$B944))</f>
        <v/>
      </c>
      <c r="B944" s="71" t="n"/>
      <c r="C944" s="44" t="n"/>
      <c r="D944" s="45" t="n"/>
      <c r="E944" s="45" t="n"/>
      <c r="F944" s="45" t="n"/>
      <c r="G944" s="45" t="n"/>
      <c r="H944" s="45" t="n"/>
      <c r="I944" s="45" t="n"/>
      <c r="J944" s="38" t="n"/>
    </row>
    <row r="945">
      <c r="A945" s="16">
        <f>IF($B945="","",COUNTA($B$4:$B945))</f>
        <v/>
      </c>
      <c r="B945" s="72" t="n"/>
      <c r="C945" s="46" t="n"/>
      <c r="D945" s="47" t="n"/>
      <c r="E945" s="47" t="n"/>
      <c r="F945" s="47" t="n"/>
      <c r="G945" s="47" t="n"/>
      <c r="H945" s="47" t="n"/>
      <c r="I945" s="47" t="n"/>
      <c r="J945" s="40" t="n"/>
    </row>
    <row r="946">
      <c r="A946" s="16">
        <f>IF($B946="","",COUNTA($B$4:$B946))</f>
        <v/>
      </c>
      <c r="B946" s="71" t="n"/>
      <c r="C946" s="44" t="n"/>
      <c r="D946" s="45" t="n"/>
      <c r="E946" s="45" t="n"/>
      <c r="F946" s="45" t="n"/>
      <c r="G946" s="45" t="n"/>
      <c r="H946" s="45" t="n"/>
      <c r="I946" s="45" t="n"/>
      <c r="J946" s="38" t="n"/>
    </row>
    <row r="947">
      <c r="A947" s="16">
        <f>IF($B947="","",COUNTA($B$4:$B947))</f>
        <v/>
      </c>
      <c r="B947" s="72" t="n"/>
      <c r="C947" s="46" t="n"/>
      <c r="D947" s="47" t="n"/>
      <c r="E947" s="47" t="n"/>
      <c r="F947" s="47" t="n"/>
      <c r="G947" s="47" t="n"/>
      <c r="H947" s="47" t="n"/>
      <c r="I947" s="47" t="n"/>
      <c r="J947" s="40" t="n"/>
    </row>
    <row r="948">
      <c r="A948" s="16">
        <f>IF($B948="","",COUNTA($B$4:$B948))</f>
        <v/>
      </c>
      <c r="B948" s="71" t="n"/>
      <c r="C948" s="44" t="n"/>
      <c r="D948" s="45" t="n"/>
      <c r="E948" s="45" t="n"/>
      <c r="F948" s="45" t="n"/>
      <c r="G948" s="45" t="n"/>
      <c r="H948" s="45" t="n"/>
      <c r="I948" s="45" t="n"/>
      <c r="J948" s="38" t="n"/>
    </row>
    <row r="949">
      <c r="A949" s="16">
        <f>IF($B949="","",COUNTA($B$4:$B949))</f>
        <v/>
      </c>
      <c r="B949" s="72" t="n"/>
      <c r="C949" s="46" t="n"/>
      <c r="D949" s="47" t="n"/>
      <c r="E949" s="47" t="n"/>
      <c r="F949" s="47" t="n"/>
      <c r="G949" s="47" t="n"/>
      <c r="H949" s="47" t="n"/>
      <c r="I949" s="47" t="n"/>
      <c r="J949" s="40" t="n"/>
    </row>
    <row r="950">
      <c r="A950" s="16">
        <f>IF($B950="","",COUNTA($B$4:$B950))</f>
        <v/>
      </c>
      <c r="B950" s="71" t="n"/>
      <c r="C950" s="44" t="n"/>
      <c r="D950" s="45" t="n"/>
      <c r="E950" s="45" t="n"/>
      <c r="F950" s="45" t="n"/>
      <c r="G950" s="45" t="n"/>
      <c r="H950" s="45" t="n"/>
      <c r="I950" s="45" t="n"/>
      <c r="J950" s="38" t="n"/>
    </row>
    <row r="951">
      <c r="A951" s="16">
        <f>IF($B951="","",COUNTA($B$4:$B951))</f>
        <v/>
      </c>
      <c r="B951" s="72" t="n"/>
      <c r="C951" s="46" t="n"/>
      <c r="D951" s="47" t="n"/>
      <c r="E951" s="47" t="n"/>
      <c r="F951" s="47" t="n"/>
      <c r="G951" s="47" t="n"/>
      <c r="H951" s="47" t="n"/>
      <c r="I951" s="47" t="n"/>
      <c r="J951" s="40" t="n"/>
    </row>
    <row r="952">
      <c r="A952" s="16">
        <f>IF($B952="","",COUNTA($B$4:$B952))</f>
        <v/>
      </c>
      <c r="B952" s="71" t="n"/>
      <c r="C952" s="44" t="n"/>
      <c r="D952" s="45" t="n"/>
      <c r="E952" s="45" t="n"/>
      <c r="F952" s="45" t="n"/>
      <c r="G952" s="45" t="n"/>
      <c r="H952" s="45" t="n"/>
      <c r="I952" s="45" t="n"/>
      <c r="J952" s="38" t="n"/>
    </row>
    <row r="953">
      <c r="A953" s="16">
        <f>IF($B953="","",COUNTA($B$4:$B953))</f>
        <v/>
      </c>
      <c r="B953" s="72" t="n"/>
      <c r="C953" s="46" t="n"/>
      <c r="D953" s="47" t="n"/>
      <c r="E953" s="47" t="n"/>
      <c r="F953" s="47" t="n"/>
      <c r="G953" s="47" t="n"/>
      <c r="H953" s="47" t="n"/>
      <c r="I953" s="47" t="n"/>
      <c r="J953" s="40" t="n"/>
    </row>
    <row r="954">
      <c r="A954" s="16">
        <f>IF($B954="","",COUNTA($B$4:$B954))</f>
        <v/>
      </c>
      <c r="B954" s="71" t="n"/>
      <c r="C954" s="44" t="n"/>
      <c r="D954" s="45" t="n"/>
      <c r="E954" s="45" t="n"/>
      <c r="F954" s="45" t="n"/>
      <c r="G954" s="45" t="n"/>
      <c r="H954" s="45" t="n"/>
      <c r="I954" s="45" t="n"/>
      <c r="J954" s="38" t="n"/>
    </row>
    <row r="955">
      <c r="A955" s="16">
        <f>IF($B955="","",COUNTA($B$4:$B955))</f>
        <v/>
      </c>
      <c r="B955" s="72" t="n"/>
      <c r="C955" s="46" t="n"/>
      <c r="D955" s="47" t="n"/>
      <c r="E955" s="47" t="n"/>
      <c r="F955" s="47" t="n"/>
      <c r="G955" s="47" t="n"/>
      <c r="H955" s="47" t="n"/>
      <c r="I955" s="47" t="n"/>
      <c r="J955" s="40" t="n"/>
    </row>
    <row r="956">
      <c r="A956" s="16">
        <f>IF($B956="","",COUNTA($B$4:$B956))</f>
        <v/>
      </c>
      <c r="B956" s="71" t="n"/>
      <c r="C956" s="44" t="n"/>
      <c r="D956" s="45" t="n"/>
      <c r="E956" s="45" t="n"/>
      <c r="F956" s="45" t="n"/>
      <c r="G956" s="45" t="n"/>
      <c r="H956" s="45" t="n"/>
      <c r="I956" s="45" t="n"/>
      <c r="J956" s="38" t="n"/>
    </row>
    <row r="957">
      <c r="A957" s="16">
        <f>IF($B957="","",COUNTA($B$4:$B957))</f>
        <v/>
      </c>
      <c r="B957" s="72" t="n"/>
      <c r="C957" s="46" t="n"/>
      <c r="D957" s="47" t="n"/>
      <c r="E957" s="47" t="n"/>
      <c r="F957" s="47" t="n"/>
      <c r="G957" s="47" t="n"/>
      <c r="H957" s="47" t="n"/>
      <c r="I957" s="47" t="n"/>
      <c r="J957" s="40" t="n"/>
    </row>
    <row r="958">
      <c r="A958" s="16">
        <f>IF($B958="","",COUNTA($B$4:$B958))</f>
        <v/>
      </c>
      <c r="B958" s="71" t="n"/>
      <c r="C958" s="44" t="n"/>
      <c r="D958" s="45" t="n"/>
      <c r="E958" s="45" t="n"/>
      <c r="F958" s="45" t="n"/>
      <c r="G958" s="45" t="n"/>
      <c r="H958" s="45" t="n"/>
      <c r="I958" s="45" t="n"/>
      <c r="J958" s="38" t="n"/>
    </row>
    <row r="959">
      <c r="A959" s="16">
        <f>IF($B959="","",COUNTA($B$4:$B959))</f>
        <v/>
      </c>
      <c r="B959" s="72" t="n"/>
      <c r="C959" s="46" t="n"/>
      <c r="D959" s="47" t="n"/>
      <c r="E959" s="47" t="n"/>
      <c r="F959" s="47" t="n"/>
      <c r="G959" s="47" t="n"/>
      <c r="H959" s="47" t="n"/>
      <c r="I959" s="47" t="n"/>
      <c r="J959" s="40" t="n"/>
    </row>
    <row r="960">
      <c r="A960" s="16">
        <f>IF($B960="","",COUNTA($B$4:$B960))</f>
        <v/>
      </c>
      <c r="B960" s="71" t="n"/>
      <c r="C960" s="44" t="n"/>
      <c r="D960" s="45" t="n"/>
      <c r="E960" s="45" t="n"/>
      <c r="F960" s="45" t="n"/>
      <c r="G960" s="45" t="n"/>
      <c r="H960" s="45" t="n"/>
      <c r="I960" s="45" t="n"/>
      <c r="J960" s="38" t="n"/>
    </row>
    <row r="961">
      <c r="A961" s="16">
        <f>IF($B961="","",COUNTA($B$4:$B961))</f>
        <v/>
      </c>
      <c r="B961" s="72" t="n"/>
      <c r="C961" s="46" t="n"/>
      <c r="D961" s="47" t="n"/>
      <c r="E961" s="47" t="n"/>
      <c r="F961" s="47" t="n"/>
      <c r="G961" s="47" t="n"/>
      <c r="H961" s="47" t="n"/>
      <c r="I961" s="47" t="n"/>
      <c r="J961" s="40" t="n"/>
    </row>
    <row r="962">
      <c r="A962" s="16">
        <f>IF($B962="","",COUNTA($B$4:$B962))</f>
        <v/>
      </c>
      <c r="B962" s="71" t="n"/>
      <c r="C962" s="44" t="n"/>
      <c r="D962" s="45" t="n"/>
      <c r="E962" s="45" t="n"/>
      <c r="F962" s="45" t="n"/>
      <c r="G962" s="45" t="n"/>
      <c r="H962" s="45" t="n"/>
      <c r="I962" s="45" t="n"/>
      <c r="J962" s="38" t="n"/>
    </row>
    <row r="963">
      <c r="A963" s="16">
        <f>IF($B963="","",COUNTA($B$4:$B963))</f>
        <v/>
      </c>
      <c r="B963" s="72" t="n"/>
      <c r="C963" s="46" t="n"/>
      <c r="D963" s="47" t="n"/>
      <c r="E963" s="47" t="n"/>
      <c r="F963" s="47" t="n"/>
      <c r="G963" s="47" t="n"/>
      <c r="H963" s="47" t="n"/>
      <c r="I963" s="47" t="n"/>
      <c r="J963" s="40" t="n"/>
    </row>
    <row r="964">
      <c r="A964" s="16">
        <f>IF($B964="","",COUNTA($B$4:$B964))</f>
        <v/>
      </c>
      <c r="B964" s="71" t="n"/>
      <c r="C964" s="44" t="n"/>
      <c r="D964" s="45" t="n"/>
      <c r="E964" s="45" t="n"/>
      <c r="F964" s="45" t="n"/>
      <c r="G964" s="45" t="n"/>
      <c r="H964" s="45" t="n"/>
      <c r="I964" s="45" t="n"/>
      <c r="J964" s="38" t="n"/>
    </row>
    <row r="965">
      <c r="A965" s="16">
        <f>IF($B965="","",COUNTA($B$4:$B965))</f>
        <v/>
      </c>
      <c r="B965" s="72" t="n"/>
      <c r="C965" s="46" t="n"/>
      <c r="D965" s="47" t="n"/>
      <c r="E965" s="47" t="n"/>
      <c r="F965" s="47" t="n"/>
      <c r="G965" s="47" t="n"/>
      <c r="H965" s="47" t="n"/>
      <c r="I965" s="47" t="n"/>
      <c r="J965" s="40" t="n"/>
    </row>
    <row r="966">
      <c r="A966" s="16">
        <f>IF($B966="","",COUNTA($B$4:$B966))</f>
        <v/>
      </c>
      <c r="B966" s="71" t="n"/>
      <c r="C966" s="44" t="n"/>
      <c r="D966" s="45" t="n"/>
      <c r="E966" s="45" t="n"/>
      <c r="F966" s="45" t="n"/>
      <c r="G966" s="45" t="n"/>
      <c r="H966" s="45" t="n"/>
      <c r="I966" s="45" t="n"/>
      <c r="J966" s="38" t="n"/>
    </row>
    <row r="967">
      <c r="A967" s="16">
        <f>IF($B967="","",COUNTA($B$4:$B967))</f>
        <v/>
      </c>
      <c r="B967" s="72" t="n"/>
      <c r="C967" s="46" t="n"/>
      <c r="D967" s="47" t="n"/>
      <c r="E967" s="47" t="n"/>
      <c r="F967" s="47" t="n"/>
      <c r="G967" s="47" t="n"/>
      <c r="H967" s="47" t="n"/>
      <c r="I967" s="47" t="n"/>
      <c r="J967" s="40" t="n"/>
    </row>
    <row r="968">
      <c r="A968" s="16">
        <f>IF($B968="","",COUNTA($B$4:$B968))</f>
        <v/>
      </c>
      <c r="B968" s="71" t="n"/>
      <c r="C968" s="44" t="n"/>
      <c r="D968" s="45" t="n"/>
      <c r="E968" s="45" t="n"/>
      <c r="F968" s="45" t="n"/>
      <c r="G968" s="45" t="n"/>
      <c r="H968" s="45" t="n"/>
      <c r="I968" s="45" t="n"/>
      <c r="J968" s="38" t="n"/>
    </row>
    <row r="969">
      <c r="A969" s="16">
        <f>IF($B969="","",COUNTA($B$4:$B969))</f>
        <v/>
      </c>
      <c r="B969" s="72" t="n"/>
      <c r="C969" s="46" t="n"/>
      <c r="D969" s="47" t="n"/>
      <c r="E969" s="47" t="n"/>
      <c r="F969" s="47" t="n"/>
      <c r="G969" s="47" t="n"/>
      <c r="H969" s="47" t="n"/>
      <c r="I969" s="47" t="n"/>
      <c r="J969" s="40" t="n"/>
    </row>
    <row r="970">
      <c r="A970" s="16">
        <f>IF($B970="","",COUNTA($B$4:$B970))</f>
        <v/>
      </c>
      <c r="B970" s="71" t="n"/>
      <c r="C970" s="44" t="n"/>
      <c r="D970" s="45" t="n"/>
      <c r="E970" s="45" t="n"/>
      <c r="F970" s="45" t="n"/>
      <c r="G970" s="45" t="n"/>
      <c r="H970" s="45" t="n"/>
      <c r="I970" s="45" t="n"/>
      <c r="J970" s="38" t="n"/>
    </row>
    <row r="971">
      <c r="A971" s="16">
        <f>IF($B971="","",COUNTA($B$4:$B971))</f>
        <v/>
      </c>
      <c r="B971" s="72" t="n"/>
      <c r="C971" s="46" t="n"/>
      <c r="D971" s="47" t="n"/>
      <c r="E971" s="47" t="n"/>
      <c r="F971" s="47" t="n"/>
      <c r="G971" s="47" t="n"/>
      <c r="H971" s="47" t="n"/>
      <c r="I971" s="47" t="n"/>
      <c r="J971" s="40" t="n"/>
    </row>
    <row r="972">
      <c r="A972" s="16">
        <f>IF($B972="","",COUNTA($B$4:$B972))</f>
        <v/>
      </c>
      <c r="B972" s="71" t="n"/>
      <c r="C972" s="44" t="n"/>
      <c r="D972" s="45" t="n"/>
      <c r="E972" s="45" t="n"/>
      <c r="F972" s="45" t="n"/>
      <c r="G972" s="45" t="n"/>
      <c r="H972" s="45" t="n"/>
      <c r="I972" s="45" t="n"/>
      <c r="J972" s="38" t="n"/>
    </row>
    <row r="973">
      <c r="A973" s="16">
        <f>IF($B973="","",COUNTA($B$4:$B973))</f>
        <v/>
      </c>
      <c r="B973" s="72" t="n"/>
      <c r="C973" s="46" t="n"/>
      <c r="D973" s="47" t="n"/>
      <c r="E973" s="47" t="n"/>
      <c r="F973" s="47" t="n"/>
      <c r="G973" s="47" t="n"/>
      <c r="H973" s="47" t="n"/>
      <c r="I973" s="47" t="n"/>
      <c r="J973" s="40" t="n"/>
    </row>
    <row r="974">
      <c r="A974" s="16">
        <f>IF($B974="","",COUNTA($B$4:$B974))</f>
        <v/>
      </c>
      <c r="B974" s="71" t="n"/>
      <c r="C974" s="44" t="n"/>
      <c r="D974" s="45" t="n"/>
      <c r="E974" s="45" t="n"/>
      <c r="F974" s="45" t="n"/>
      <c r="G974" s="45" t="n"/>
      <c r="H974" s="45" t="n"/>
      <c r="I974" s="45" t="n"/>
      <c r="J974" s="38" t="n"/>
    </row>
    <row r="975">
      <c r="A975" s="16">
        <f>IF($B975="","",COUNTA($B$4:$B975))</f>
        <v/>
      </c>
      <c r="B975" s="72" t="n"/>
      <c r="C975" s="46" t="n"/>
      <c r="D975" s="47" t="n"/>
      <c r="E975" s="47" t="n"/>
      <c r="F975" s="47" t="n"/>
      <c r="G975" s="47" t="n"/>
      <c r="H975" s="47" t="n"/>
      <c r="I975" s="47" t="n"/>
      <c r="J975" s="40" t="n"/>
    </row>
    <row r="976">
      <c r="A976" s="16">
        <f>IF($B976="","",COUNTA($B$4:$B976))</f>
        <v/>
      </c>
      <c r="B976" s="71" t="n"/>
      <c r="C976" s="44" t="n"/>
      <c r="D976" s="45" t="n"/>
      <c r="E976" s="45" t="n"/>
      <c r="F976" s="45" t="n"/>
      <c r="G976" s="45" t="n"/>
      <c r="H976" s="45" t="n"/>
      <c r="I976" s="45" t="n"/>
      <c r="J976" s="38" t="n"/>
    </row>
    <row r="977">
      <c r="A977" s="16">
        <f>IF($B977="","",COUNTA($B$4:$B977))</f>
        <v/>
      </c>
      <c r="B977" s="72" t="n"/>
      <c r="C977" s="46" t="n"/>
      <c r="D977" s="47" t="n"/>
      <c r="E977" s="47" t="n"/>
      <c r="F977" s="47" t="n"/>
      <c r="G977" s="47" t="n"/>
      <c r="H977" s="47" t="n"/>
      <c r="I977" s="47" t="n"/>
      <c r="J977" s="40" t="n"/>
    </row>
    <row r="978">
      <c r="A978" s="16">
        <f>IF($B978="","",COUNTA($B$4:$B978))</f>
        <v/>
      </c>
      <c r="B978" s="71" t="n"/>
      <c r="C978" s="44" t="n"/>
      <c r="D978" s="45" t="n"/>
      <c r="E978" s="45" t="n"/>
      <c r="F978" s="45" t="n"/>
      <c r="G978" s="45" t="n"/>
      <c r="H978" s="45" t="n"/>
      <c r="I978" s="45" t="n"/>
      <c r="J978" s="38" t="n"/>
    </row>
    <row r="979">
      <c r="A979" s="16">
        <f>IF($B979="","",COUNTA($B$4:$B979))</f>
        <v/>
      </c>
      <c r="B979" s="72" t="n"/>
      <c r="C979" s="46" t="n"/>
      <c r="D979" s="47" t="n"/>
      <c r="E979" s="47" t="n"/>
      <c r="F979" s="47" t="n"/>
      <c r="G979" s="47" t="n"/>
      <c r="H979" s="47" t="n"/>
      <c r="I979" s="47" t="n"/>
      <c r="J979" s="40" t="n"/>
    </row>
    <row r="980">
      <c r="A980" s="16">
        <f>IF($B980="","",COUNTA($B$4:$B980))</f>
        <v/>
      </c>
      <c r="B980" s="71" t="n"/>
      <c r="C980" s="44" t="n"/>
      <c r="D980" s="45" t="n"/>
      <c r="E980" s="45" t="n"/>
      <c r="F980" s="45" t="n"/>
      <c r="G980" s="45" t="n"/>
      <c r="H980" s="45" t="n"/>
      <c r="I980" s="45" t="n"/>
      <c r="J980" s="38" t="n"/>
    </row>
    <row r="981">
      <c r="A981" s="16">
        <f>IF($B981="","",COUNTA($B$4:$B981))</f>
        <v/>
      </c>
      <c r="B981" s="72" t="n"/>
      <c r="C981" s="46" t="n"/>
      <c r="D981" s="47" t="n"/>
      <c r="E981" s="47" t="n"/>
      <c r="F981" s="47" t="n"/>
      <c r="G981" s="47" t="n"/>
      <c r="H981" s="47" t="n"/>
      <c r="I981" s="47" t="n"/>
      <c r="J981" s="40" t="n"/>
    </row>
    <row r="982">
      <c r="A982" s="16">
        <f>IF($B982="","",COUNTA($B$4:$B982))</f>
        <v/>
      </c>
      <c r="B982" s="71" t="n"/>
      <c r="C982" s="44" t="n"/>
      <c r="D982" s="45" t="n"/>
      <c r="E982" s="45" t="n"/>
      <c r="F982" s="45" t="n"/>
      <c r="G982" s="45" t="n"/>
      <c r="H982" s="45" t="n"/>
      <c r="I982" s="45" t="n"/>
      <c r="J982" s="38" t="n"/>
    </row>
    <row r="983">
      <c r="A983" s="16">
        <f>IF($B983="","",COUNTA($B$4:$B983))</f>
        <v/>
      </c>
      <c r="B983" s="72" t="n"/>
      <c r="C983" s="46" t="n"/>
      <c r="D983" s="47" t="n"/>
      <c r="E983" s="47" t="n"/>
      <c r="F983" s="47" t="n"/>
      <c r="G983" s="47" t="n"/>
      <c r="H983" s="47" t="n"/>
      <c r="I983" s="47" t="n"/>
      <c r="J983" s="40" t="n"/>
    </row>
    <row r="984">
      <c r="A984" s="16">
        <f>IF($B984="","",COUNTA($B$4:$B984))</f>
        <v/>
      </c>
      <c r="B984" s="71" t="n"/>
      <c r="C984" s="44" t="n"/>
      <c r="D984" s="45" t="n"/>
      <c r="E984" s="45" t="n"/>
      <c r="F984" s="45" t="n"/>
      <c r="G984" s="45" t="n"/>
      <c r="H984" s="45" t="n"/>
      <c r="I984" s="45" t="n"/>
      <c r="J984" s="38" t="n"/>
    </row>
    <row r="985">
      <c r="A985" s="16">
        <f>IF($B985="","",COUNTA($B$4:$B985))</f>
        <v/>
      </c>
      <c r="B985" s="72" t="n"/>
      <c r="C985" s="46" t="n"/>
      <c r="D985" s="47" t="n"/>
      <c r="E985" s="47" t="n"/>
      <c r="F985" s="47" t="n"/>
      <c r="G985" s="47" t="n"/>
      <c r="H985" s="47" t="n"/>
      <c r="I985" s="47" t="n"/>
      <c r="J985" s="40" t="n"/>
    </row>
    <row r="986">
      <c r="A986" s="16">
        <f>IF($B986="","",COUNTA($B$4:$B986))</f>
        <v/>
      </c>
      <c r="B986" s="71" t="n"/>
      <c r="C986" s="44" t="n"/>
      <c r="D986" s="45" t="n"/>
      <c r="E986" s="45" t="n"/>
      <c r="F986" s="45" t="n"/>
      <c r="G986" s="45" t="n"/>
      <c r="H986" s="45" t="n"/>
      <c r="I986" s="45" t="n"/>
      <c r="J986" s="38" t="n"/>
    </row>
    <row r="987">
      <c r="A987" s="16">
        <f>IF($B987="","",COUNTA($B$4:$B987))</f>
        <v/>
      </c>
      <c r="B987" s="72" t="n"/>
      <c r="C987" s="46" t="n"/>
      <c r="D987" s="47" t="n"/>
      <c r="E987" s="47" t="n"/>
      <c r="F987" s="47" t="n"/>
      <c r="G987" s="47" t="n"/>
      <c r="H987" s="47" t="n"/>
      <c r="I987" s="47" t="n"/>
      <c r="J987" s="40" t="n"/>
    </row>
    <row r="988">
      <c r="A988" s="16">
        <f>IF($B988="","",COUNTA($B$4:$B988))</f>
        <v/>
      </c>
      <c r="B988" s="71" t="n"/>
      <c r="C988" s="44" t="n"/>
      <c r="D988" s="45" t="n"/>
      <c r="E988" s="45" t="n"/>
      <c r="F988" s="45" t="n"/>
      <c r="G988" s="45" t="n"/>
      <c r="H988" s="45" t="n"/>
      <c r="I988" s="45" t="n"/>
      <c r="J988" s="38" t="n"/>
    </row>
    <row r="989">
      <c r="A989" s="16">
        <f>IF($B989="","",COUNTA($B$4:$B989))</f>
        <v/>
      </c>
      <c r="B989" s="72" t="n"/>
      <c r="C989" s="46" t="n"/>
      <c r="D989" s="47" t="n"/>
      <c r="E989" s="47" t="n"/>
      <c r="F989" s="47" t="n"/>
      <c r="G989" s="47" t="n"/>
      <c r="H989" s="47" t="n"/>
      <c r="I989" s="47" t="n"/>
      <c r="J989" s="40" t="n"/>
    </row>
    <row r="990">
      <c r="A990" s="16">
        <f>IF($B990="","",COUNTA($B$4:$B990))</f>
        <v/>
      </c>
      <c r="B990" s="71" t="n"/>
      <c r="C990" s="44" t="n"/>
      <c r="D990" s="45" t="n"/>
      <c r="E990" s="45" t="n"/>
      <c r="F990" s="45" t="n"/>
      <c r="G990" s="45" t="n"/>
      <c r="H990" s="45" t="n"/>
      <c r="I990" s="45" t="n"/>
      <c r="J990" s="38" t="n"/>
    </row>
    <row r="991">
      <c r="A991" s="16">
        <f>IF($B991="","",COUNTA($B$4:$B991))</f>
        <v/>
      </c>
      <c r="B991" s="72" t="n"/>
      <c r="C991" s="46" t="n"/>
      <c r="D991" s="47" t="n"/>
      <c r="E991" s="47" t="n"/>
      <c r="F991" s="47" t="n"/>
      <c r="G991" s="47" t="n"/>
      <c r="H991" s="47" t="n"/>
      <c r="I991" s="47" t="n"/>
      <c r="J991" s="40" t="n"/>
    </row>
    <row r="992">
      <c r="A992" s="16">
        <f>IF($B992="","",COUNTA($B$4:$B992))</f>
        <v/>
      </c>
      <c r="B992" s="71" t="n"/>
      <c r="C992" s="44" t="n"/>
      <c r="D992" s="45" t="n"/>
      <c r="E992" s="45" t="n"/>
      <c r="F992" s="45" t="n"/>
      <c r="G992" s="45" t="n"/>
      <c r="H992" s="45" t="n"/>
      <c r="I992" s="45" t="n"/>
      <c r="J992" s="38" t="n"/>
    </row>
    <row r="993">
      <c r="A993" s="16">
        <f>IF($B993="","",COUNTA($B$4:$B993))</f>
        <v/>
      </c>
      <c r="B993" s="72" t="n"/>
      <c r="C993" s="46" t="n"/>
      <c r="D993" s="47" t="n"/>
      <c r="E993" s="47" t="n"/>
      <c r="F993" s="47" t="n"/>
      <c r="G993" s="47" t="n"/>
      <c r="H993" s="47" t="n"/>
      <c r="I993" s="47" t="n"/>
      <c r="J993" s="40" t="n"/>
    </row>
    <row r="994">
      <c r="A994" s="16">
        <f>IF($B994="","",COUNTA($B$4:$B994))</f>
        <v/>
      </c>
      <c r="B994" s="71" t="n"/>
      <c r="C994" s="44" t="n"/>
      <c r="D994" s="45" t="n"/>
      <c r="E994" s="45" t="n"/>
      <c r="F994" s="45" t="n"/>
      <c r="G994" s="45" t="n"/>
      <c r="H994" s="45" t="n"/>
      <c r="I994" s="45" t="n"/>
      <c r="J994" s="38" t="n"/>
    </row>
    <row r="995">
      <c r="A995" s="16">
        <f>IF($B995="","",COUNTA($B$4:$B995))</f>
        <v/>
      </c>
      <c r="B995" s="72" t="n"/>
      <c r="C995" s="46" t="n"/>
      <c r="D995" s="47" t="n"/>
      <c r="E995" s="47" t="n"/>
      <c r="F995" s="47" t="n"/>
      <c r="G995" s="47" t="n"/>
      <c r="H995" s="47" t="n"/>
      <c r="I995" s="47" t="n"/>
      <c r="J995" s="40" t="n"/>
    </row>
    <row r="996">
      <c r="A996" s="16">
        <f>IF($B996="","",COUNTA($B$4:$B996))</f>
        <v/>
      </c>
      <c r="B996" s="71" t="n"/>
      <c r="C996" s="44" t="n"/>
      <c r="D996" s="45" t="n"/>
      <c r="E996" s="45" t="n"/>
      <c r="F996" s="45" t="n"/>
      <c r="G996" s="45" t="n"/>
      <c r="H996" s="45" t="n"/>
      <c r="I996" s="45" t="n"/>
      <c r="J996" s="38" t="n"/>
    </row>
    <row r="997">
      <c r="A997" s="16">
        <f>IF($B997="","",COUNTA($B$4:$B997))</f>
        <v/>
      </c>
      <c r="B997" s="72" t="n"/>
      <c r="C997" s="46" t="n"/>
      <c r="D997" s="47" t="n"/>
      <c r="E997" s="47" t="n"/>
      <c r="F997" s="47" t="n"/>
      <c r="G997" s="47" t="n"/>
      <c r="H997" s="47" t="n"/>
      <c r="I997" s="47" t="n"/>
      <c r="J997" s="40" t="n"/>
    </row>
    <row r="998">
      <c r="A998" s="16">
        <f>IF($B998="","",COUNTA($B$4:$B998))</f>
        <v/>
      </c>
      <c r="B998" s="71" t="n"/>
      <c r="C998" s="44" t="n"/>
      <c r="D998" s="45" t="n"/>
      <c r="E998" s="45" t="n"/>
      <c r="F998" s="45" t="n"/>
      <c r="G998" s="45" t="n"/>
      <c r="H998" s="45" t="n"/>
      <c r="I998" s="45" t="n"/>
      <c r="J998" s="38" t="n"/>
    </row>
    <row r="999">
      <c r="A999" s="16">
        <f>IF($B999="","",COUNTA($B$4:$B999))</f>
        <v/>
      </c>
      <c r="B999" s="72" t="n"/>
      <c r="C999" s="46" t="n"/>
      <c r="D999" s="47" t="n"/>
      <c r="E999" s="47" t="n"/>
      <c r="F999" s="47" t="n"/>
      <c r="G999" s="47" t="n"/>
      <c r="H999" s="47" t="n"/>
      <c r="I999" s="47" t="n"/>
      <c r="J999" s="40" t="n"/>
    </row>
    <row r="1000">
      <c r="A1000" s="16">
        <f>IF($B1000="","",COUNTA($B$4:$B1000))</f>
        <v/>
      </c>
      <c r="B1000" s="71" t="n"/>
      <c r="C1000" s="44" t="n"/>
      <c r="D1000" s="45" t="n"/>
      <c r="E1000" s="45" t="n"/>
      <c r="F1000" s="45" t="n"/>
      <c r="G1000" s="45" t="n"/>
      <c r="H1000" s="45" t="n"/>
      <c r="I1000" s="45" t="n"/>
      <c r="J1000" s="38" t="n"/>
    </row>
    <row r="1001">
      <c r="A1001" s="16">
        <f>IF($B1001="","",COUNTA($B$4:$B1001))</f>
        <v/>
      </c>
      <c r="B1001" s="72" t="n"/>
      <c r="C1001" s="46" t="n"/>
      <c r="D1001" s="47" t="n"/>
      <c r="E1001" s="47" t="n"/>
      <c r="F1001" s="47" t="n"/>
      <c r="G1001" s="47" t="n"/>
      <c r="H1001" s="47" t="n"/>
      <c r="I1001" s="47" t="n"/>
      <c r="J1001" s="40" t="n"/>
    </row>
    <row r="1002">
      <c r="A1002" s="16">
        <f>IF($B1002="","",COUNTA($B$4:$B1002))</f>
        <v/>
      </c>
      <c r="B1002" s="71" t="n"/>
      <c r="C1002" s="44" t="n"/>
      <c r="D1002" s="45" t="n"/>
      <c r="E1002" s="45" t="n"/>
      <c r="F1002" s="45" t="n"/>
      <c r="G1002" s="45" t="n"/>
      <c r="H1002" s="45" t="n"/>
      <c r="I1002" s="45" t="n"/>
      <c r="J1002" s="38" t="n"/>
    </row>
    <row r="1003">
      <c r="A1003" s="16">
        <f>IF($B1003="","",COUNTA($B$4:$B1003))</f>
        <v/>
      </c>
      <c r="B1003" s="72" t="n"/>
      <c r="C1003" s="46" t="n"/>
      <c r="D1003" s="47" t="n"/>
      <c r="E1003" s="47" t="n"/>
      <c r="F1003" s="47" t="n"/>
      <c r="G1003" s="47" t="n"/>
      <c r="H1003" s="47" t="n"/>
      <c r="I1003" s="47" t="n"/>
      <c r="J1003" s="40" t="n"/>
    </row>
    <row r="1004">
      <c r="A1004" s="16">
        <f>IF($B1004="","",COUNTA($B$4:$B1004))</f>
        <v/>
      </c>
      <c r="B1004" s="71" t="n"/>
      <c r="C1004" s="44" t="n"/>
      <c r="D1004" s="45" t="n"/>
      <c r="E1004" s="45" t="n"/>
      <c r="F1004" s="45" t="n"/>
      <c r="G1004" s="45" t="n"/>
      <c r="H1004" s="45" t="n"/>
      <c r="I1004" s="45" t="n"/>
      <c r="J1004" s="38" t="n"/>
    </row>
    <row r="1005">
      <c r="A1005" s="16">
        <f>IF($B1005="","",COUNTA($B$4:$B1005))</f>
        <v/>
      </c>
      <c r="B1005" s="72" t="n"/>
      <c r="C1005" s="46" t="n"/>
      <c r="D1005" s="47" t="n"/>
      <c r="E1005" s="47" t="n"/>
      <c r="F1005" s="47" t="n"/>
      <c r="G1005" s="47" t="n"/>
      <c r="H1005" s="47" t="n"/>
      <c r="I1005" s="47" t="n"/>
      <c r="J1005" s="40" t="n"/>
    </row>
    <row r="1006">
      <c r="A1006" s="16">
        <f>IF($B1006="","",COUNTA($B$4:$B1006))</f>
        <v/>
      </c>
      <c r="B1006" s="71" t="n"/>
      <c r="C1006" s="44" t="n"/>
      <c r="D1006" s="45" t="n"/>
      <c r="E1006" s="45" t="n"/>
      <c r="F1006" s="45" t="n"/>
      <c r="G1006" s="45" t="n"/>
      <c r="H1006" s="45" t="n"/>
      <c r="I1006" s="45" t="n"/>
      <c r="J1006" s="38" t="n"/>
    </row>
    <row r="1007">
      <c r="A1007" s="16">
        <f>IF($B1007="","",COUNTA($B$4:$B1007))</f>
        <v/>
      </c>
      <c r="B1007" s="72" t="n"/>
      <c r="C1007" s="46" t="n"/>
      <c r="D1007" s="47" t="n"/>
      <c r="E1007" s="47" t="n"/>
      <c r="F1007" s="47" t="n"/>
      <c r="G1007" s="47" t="n"/>
      <c r="H1007" s="47" t="n"/>
      <c r="I1007" s="47" t="n"/>
      <c r="J1007" s="40" t="n"/>
    </row>
    <row r="1008">
      <c r="A1008" s="16">
        <f>IF($B1008="","",COUNTA($B$4:$B1008))</f>
        <v/>
      </c>
      <c r="B1008" s="71" t="n"/>
      <c r="C1008" s="44" t="n"/>
      <c r="D1008" s="45" t="n"/>
      <c r="E1008" s="45" t="n"/>
      <c r="F1008" s="45" t="n"/>
      <c r="G1008" s="45" t="n"/>
      <c r="H1008" s="45" t="n"/>
      <c r="I1008" s="45" t="n"/>
      <c r="J1008" s="38" t="n"/>
    </row>
    <row r="1009">
      <c r="A1009" s="16">
        <f>IF($B1009="","",COUNTA($B$4:$B1009))</f>
        <v/>
      </c>
      <c r="B1009" s="72" t="n"/>
      <c r="C1009" s="46" t="n"/>
      <c r="D1009" s="47" t="n"/>
      <c r="E1009" s="47" t="n"/>
      <c r="F1009" s="47" t="n"/>
      <c r="G1009" s="47" t="n"/>
      <c r="H1009" s="47" t="n"/>
      <c r="I1009" s="47" t="n"/>
      <c r="J1009" s="40" t="n"/>
    </row>
    <row r="1010">
      <c r="A1010" s="16">
        <f>IF($B1010="","",COUNTA($B$4:$B1010))</f>
        <v/>
      </c>
      <c r="B1010" s="71" t="n"/>
      <c r="C1010" s="44" t="n"/>
      <c r="D1010" s="45" t="n"/>
      <c r="E1010" s="45" t="n"/>
      <c r="F1010" s="45" t="n"/>
      <c r="G1010" s="45" t="n"/>
      <c r="H1010" s="45" t="n"/>
      <c r="I1010" s="45" t="n"/>
      <c r="J1010" s="38" t="n"/>
    </row>
    <row r="1011">
      <c r="A1011" s="16">
        <f>IF($B1011="","",COUNTA($B$4:$B1011))</f>
        <v/>
      </c>
      <c r="B1011" s="72" t="n"/>
      <c r="C1011" s="46" t="n"/>
      <c r="D1011" s="47" t="n"/>
      <c r="E1011" s="47" t="n"/>
      <c r="F1011" s="47" t="n"/>
      <c r="G1011" s="47" t="n"/>
      <c r="H1011" s="47" t="n"/>
      <c r="I1011" s="47" t="n"/>
      <c r="J1011" s="40" t="n"/>
    </row>
    <row r="1012">
      <c r="A1012" s="16">
        <f>IF($B1012="","",COUNTA($B$4:$B1012))</f>
        <v/>
      </c>
      <c r="B1012" s="71" t="n"/>
      <c r="C1012" s="44" t="n"/>
      <c r="D1012" s="45" t="n"/>
      <c r="E1012" s="45" t="n"/>
      <c r="F1012" s="45" t="n"/>
      <c r="G1012" s="45" t="n"/>
      <c r="H1012" s="45" t="n"/>
      <c r="I1012" s="45" t="n"/>
      <c r="J1012" s="38" t="n"/>
    </row>
    <row r="1013">
      <c r="A1013" s="16">
        <f>IF($B1013="","",COUNTA($B$4:$B1013))</f>
        <v/>
      </c>
      <c r="B1013" s="72" t="n"/>
      <c r="C1013" s="46" t="n"/>
      <c r="D1013" s="47" t="n"/>
      <c r="E1013" s="47" t="n"/>
      <c r="F1013" s="47" t="n"/>
      <c r="G1013" s="47" t="n"/>
      <c r="H1013" s="47" t="n"/>
      <c r="I1013" s="47" t="n"/>
      <c r="J1013" s="40" t="n"/>
    </row>
    <row r="1014">
      <c r="A1014" s="16">
        <f>IF($B1014="","",COUNTA($B$4:$B1014))</f>
        <v/>
      </c>
      <c r="B1014" s="71" t="n"/>
      <c r="C1014" s="44" t="n"/>
      <c r="D1014" s="45" t="n"/>
      <c r="E1014" s="45" t="n"/>
      <c r="F1014" s="45" t="n"/>
      <c r="G1014" s="45" t="n"/>
      <c r="H1014" s="45" t="n"/>
      <c r="I1014" s="45" t="n"/>
      <c r="J1014" s="38" t="n"/>
    </row>
    <row r="1015">
      <c r="A1015" s="16">
        <f>IF($B1015="","",COUNTA($B$4:$B1015))</f>
        <v/>
      </c>
      <c r="B1015" s="72" t="n"/>
      <c r="C1015" s="46" t="n"/>
      <c r="D1015" s="47" t="n"/>
      <c r="E1015" s="47" t="n"/>
      <c r="F1015" s="47" t="n"/>
      <c r="G1015" s="47" t="n"/>
      <c r="H1015" s="47" t="n"/>
      <c r="I1015" s="47" t="n"/>
      <c r="J1015" s="40" t="n"/>
    </row>
    <row r="1016">
      <c r="A1016" s="16">
        <f>IF($B1016="","",COUNTA($B$4:$B1016))</f>
        <v/>
      </c>
      <c r="B1016" s="71" t="n"/>
      <c r="C1016" s="44" t="n"/>
      <c r="D1016" s="45" t="n"/>
      <c r="E1016" s="45" t="n"/>
      <c r="F1016" s="45" t="n"/>
      <c r="G1016" s="45" t="n"/>
      <c r="H1016" s="45" t="n"/>
      <c r="I1016" s="45" t="n"/>
      <c r="J1016" s="38" t="n"/>
    </row>
    <row r="1017">
      <c r="A1017" s="16">
        <f>IF($B1017="","",COUNTA($B$4:$B1017))</f>
        <v/>
      </c>
      <c r="B1017" s="72" t="n"/>
      <c r="C1017" s="46" t="n"/>
      <c r="D1017" s="47" t="n"/>
      <c r="E1017" s="47" t="n"/>
      <c r="F1017" s="47" t="n"/>
      <c r="G1017" s="47" t="n"/>
      <c r="H1017" s="47" t="n"/>
      <c r="I1017" s="47" t="n"/>
      <c r="J1017" s="40" t="n"/>
    </row>
    <row r="1018">
      <c r="A1018" s="16">
        <f>IF($B1018="","",COUNTA($B$4:$B1018))</f>
        <v/>
      </c>
      <c r="B1018" s="71" t="n"/>
      <c r="C1018" s="44" t="n"/>
      <c r="D1018" s="45" t="n"/>
      <c r="E1018" s="45" t="n"/>
      <c r="F1018" s="45" t="n"/>
      <c r="G1018" s="45" t="n"/>
      <c r="H1018" s="45" t="n"/>
      <c r="I1018" s="45" t="n"/>
      <c r="J1018" s="38" t="n"/>
    </row>
    <row r="1019">
      <c r="A1019" s="16">
        <f>IF($B1019="","",COUNTA($B$4:$B1019))</f>
        <v/>
      </c>
      <c r="B1019" s="72" t="n"/>
      <c r="C1019" s="46" t="n"/>
      <c r="D1019" s="47" t="n"/>
      <c r="E1019" s="47" t="n"/>
      <c r="F1019" s="47" t="n"/>
      <c r="G1019" s="47" t="n"/>
      <c r="H1019" s="47" t="n"/>
      <c r="I1019" s="47" t="n"/>
      <c r="J1019" s="40" t="n"/>
    </row>
    <row r="1020">
      <c r="A1020" s="16">
        <f>IF($B1020="","",COUNTA($B$4:$B1020))</f>
        <v/>
      </c>
      <c r="B1020" s="71" t="n"/>
      <c r="C1020" s="44" t="n"/>
      <c r="D1020" s="45" t="n"/>
      <c r="E1020" s="45" t="n"/>
      <c r="F1020" s="45" t="n"/>
      <c r="G1020" s="45" t="n"/>
      <c r="H1020" s="45" t="n"/>
      <c r="I1020" s="45" t="n"/>
      <c r="J1020" s="38" t="n"/>
    </row>
    <row r="1021">
      <c r="A1021" s="16">
        <f>IF($B1021="","",COUNTA($B$4:$B1021))</f>
        <v/>
      </c>
      <c r="B1021" s="72" t="n"/>
      <c r="C1021" s="46" t="n"/>
      <c r="D1021" s="47" t="n"/>
      <c r="E1021" s="47" t="n"/>
      <c r="F1021" s="47" t="n"/>
      <c r="G1021" s="47" t="n"/>
      <c r="H1021" s="47" t="n"/>
      <c r="I1021" s="47" t="n"/>
      <c r="J1021" s="40" t="n"/>
    </row>
    <row r="1022">
      <c r="A1022" s="16">
        <f>IF($B1022="","",COUNTA($B$4:$B1022))</f>
        <v/>
      </c>
      <c r="B1022" s="71" t="n"/>
      <c r="C1022" s="44" t="n"/>
      <c r="D1022" s="45" t="n"/>
      <c r="E1022" s="45" t="n"/>
      <c r="F1022" s="45" t="n"/>
      <c r="G1022" s="45" t="n"/>
      <c r="H1022" s="45" t="n"/>
      <c r="I1022" s="45" t="n"/>
      <c r="J1022" s="38" t="n"/>
    </row>
    <row r="1023">
      <c r="A1023" s="16">
        <f>IF($B1023="","",COUNTA($B$4:$B1023))</f>
        <v/>
      </c>
      <c r="B1023" s="72" t="n"/>
      <c r="C1023" s="46" t="n"/>
      <c r="D1023" s="47" t="n"/>
      <c r="E1023" s="47" t="n"/>
      <c r="F1023" s="47" t="n"/>
      <c r="G1023" s="47" t="n"/>
      <c r="H1023" s="47" t="n"/>
      <c r="I1023" s="47" t="n"/>
      <c r="J1023" s="40" t="n"/>
    </row>
    <row r="1024">
      <c r="A1024" s="16">
        <f>IF($B1024="","",COUNTA($B$4:$B1024))</f>
        <v/>
      </c>
      <c r="B1024" s="71" t="n"/>
      <c r="C1024" s="44" t="n"/>
      <c r="D1024" s="45" t="n"/>
      <c r="E1024" s="45" t="n"/>
      <c r="F1024" s="45" t="n"/>
      <c r="G1024" s="45" t="n"/>
      <c r="H1024" s="45" t="n"/>
      <c r="I1024" s="45" t="n"/>
      <c r="J1024" s="38" t="n"/>
    </row>
    <row r="1025">
      <c r="A1025" s="16">
        <f>IF($B1025="","",COUNTA($B$4:$B1025))</f>
        <v/>
      </c>
      <c r="B1025" s="72" t="n"/>
      <c r="C1025" s="46" t="n"/>
      <c r="D1025" s="47" t="n"/>
      <c r="E1025" s="47" t="n"/>
      <c r="F1025" s="47" t="n"/>
      <c r="G1025" s="47" t="n"/>
      <c r="H1025" s="47" t="n"/>
      <c r="I1025" s="47" t="n"/>
      <c r="J1025" s="40" t="n"/>
    </row>
    <row r="1026">
      <c r="A1026" s="16">
        <f>IF($B1026="","",COUNTA($B$4:$B1026))</f>
        <v/>
      </c>
      <c r="B1026" s="71" t="n"/>
      <c r="C1026" s="44" t="n"/>
      <c r="D1026" s="45" t="n"/>
      <c r="E1026" s="45" t="n"/>
      <c r="F1026" s="45" t="n"/>
      <c r="G1026" s="45" t="n"/>
      <c r="H1026" s="45" t="n"/>
      <c r="I1026" s="45" t="n"/>
      <c r="J1026" s="38" t="n"/>
    </row>
    <row r="1027">
      <c r="A1027" s="16">
        <f>IF($B1027="","",COUNTA($B$4:$B1027))</f>
        <v/>
      </c>
      <c r="B1027" s="72" t="n"/>
      <c r="C1027" s="46" t="n"/>
      <c r="D1027" s="47" t="n"/>
      <c r="E1027" s="47" t="n"/>
      <c r="F1027" s="47" t="n"/>
      <c r="G1027" s="47" t="n"/>
      <c r="H1027" s="47" t="n"/>
      <c r="I1027" s="47" t="n"/>
      <c r="J1027" s="40" t="n"/>
    </row>
    <row r="1028">
      <c r="A1028" s="16">
        <f>IF($B1028="","",COUNTA($B$4:$B1028))</f>
        <v/>
      </c>
      <c r="B1028" s="71" t="n"/>
      <c r="C1028" s="44" t="n"/>
      <c r="D1028" s="45" t="n"/>
      <c r="E1028" s="45" t="n"/>
      <c r="F1028" s="45" t="n"/>
      <c r="G1028" s="45" t="n"/>
      <c r="H1028" s="45" t="n"/>
      <c r="I1028" s="45" t="n"/>
      <c r="J1028" s="38" t="n"/>
    </row>
    <row r="1029">
      <c r="A1029" s="16">
        <f>IF($B1029="","",COUNTA($B$4:$B1029))</f>
        <v/>
      </c>
      <c r="B1029" s="72" t="n"/>
      <c r="C1029" s="46" t="n"/>
      <c r="D1029" s="47" t="n"/>
      <c r="E1029" s="47" t="n"/>
      <c r="F1029" s="47" t="n"/>
      <c r="G1029" s="47" t="n"/>
      <c r="H1029" s="47" t="n"/>
      <c r="I1029" s="47" t="n"/>
      <c r="J1029" s="40" t="n"/>
    </row>
    <row r="1030">
      <c r="A1030" s="16">
        <f>IF($B1030="","",COUNTA($B$4:$B1030))</f>
        <v/>
      </c>
      <c r="B1030" s="71" t="n"/>
      <c r="C1030" s="44" t="n"/>
      <c r="D1030" s="45" t="n"/>
      <c r="E1030" s="45" t="n"/>
      <c r="F1030" s="45" t="n"/>
      <c r="G1030" s="45" t="n"/>
      <c r="H1030" s="45" t="n"/>
      <c r="I1030" s="45" t="n"/>
      <c r="J1030" s="38" t="n"/>
    </row>
    <row r="1031">
      <c r="A1031" s="16">
        <f>IF($B1031="","",COUNTA($B$4:$B1031))</f>
        <v/>
      </c>
      <c r="B1031" s="72" t="n"/>
      <c r="C1031" s="46" t="n"/>
      <c r="D1031" s="47" t="n"/>
      <c r="E1031" s="47" t="n"/>
      <c r="F1031" s="47" t="n"/>
      <c r="G1031" s="47" t="n"/>
      <c r="H1031" s="47" t="n"/>
      <c r="I1031" s="47" t="n"/>
      <c r="J1031" s="40" t="n"/>
    </row>
    <row r="1032">
      <c r="A1032" s="16">
        <f>IF($B1032="","",COUNTA($B$4:$B1032))</f>
        <v/>
      </c>
      <c r="B1032" s="71" t="n"/>
      <c r="C1032" s="44" t="n"/>
      <c r="D1032" s="45" t="n"/>
      <c r="E1032" s="45" t="n"/>
      <c r="F1032" s="45" t="n"/>
      <c r="G1032" s="45" t="n"/>
      <c r="H1032" s="45" t="n"/>
      <c r="I1032" s="45" t="n"/>
      <c r="J1032" s="38" t="n"/>
    </row>
    <row r="1033">
      <c r="A1033" s="16">
        <f>IF($B1033="","",COUNTA($B$4:$B1033))</f>
        <v/>
      </c>
      <c r="B1033" s="72" t="n"/>
      <c r="C1033" s="46" t="n"/>
      <c r="D1033" s="47" t="n"/>
      <c r="E1033" s="47" t="n"/>
      <c r="F1033" s="47" t="n"/>
      <c r="G1033" s="47" t="n"/>
      <c r="H1033" s="47" t="n"/>
      <c r="I1033" s="47" t="n"/>
      <c r="J1033" s="40" t="n"/>
    </row>
    <row r="1034">
      <c r="A1034" s="16">
        <f>IF($B1034="","",COUNTA($B$4:$B1034))</f>
        <v/>
      </c>
      <c r="B1034" s="71" t="n"/>
      <c r="C1034" s="44" t="n"/>
      <c r="D1034" s="45" t="n"/>
      <c r="E1034" s="45" t="n"/>
      <c r="F1034" s="45" t="n"/>
      <c r="G1034" s="45" t="n"/>
      <c r="H1034" s="45" t="n"/>
      <c r="I1034" s="45" t="n"/>
      <c r="J1034" s="38" t="n"/>
    </row>
    <row r="1035">
      <c r="A1035" s="16">
        <f>IF($B1035="","",COUNTA($B$4:$B1035))</f>
        <v/>
      </c>
      <c r="B1035" s="72" t="n"/>
      <c r="C1035" s="46" t="n"/>
      <c r="D1035" s="47" t="n"/>
      <c r="E1035" s="47" t="n"/>
      <c r="F1035" s="47" t="n"/>
      <c r="G1035" s="47" t="n"/>
      <c r="H1035" s="47" t="n"/>
      <c r="I1035" s="47" t="n"/>
      <c r="J1035" s="40" t="n"/>
    </row>
    <row r="1036">
      <c r="A1036" s="16">
        <f>IF($B1036="","",COUNTA($B$4:$B1036))</f>
        <v/>
      </c>
      <c r="B1036" s="71" t="n"/>
      <c r="C1036" s="44" t="n"/>
      <c r="D1036" s="45" t="n"/>
      <c r="E1036" s="45" t="n"/>
      <c r="F1036" s="45" t="n"/>
      <c r="G1036" s="45" t="n"/>
      <c r="H1036" s="45" t="n"/>
      <c r="I1036" s="45" t="n"/>
      <c r="J1036" s="38" t="n"/>
    </row>
    <row r="1037">
      <c r="A1037" s="16">
        <f>IF($B1037="","",COUNTA($B$4:$B1037))</f>
        <v/>
      </c>
      <c r="B1037" s="72" t="n"/>
      <c r="C1037" s="46" t="n"/>
      <c r="D1037" s="47" t="n"/>
      <c r="E1037" s="47" t="n"/>
      <c r="F1037" s="47" t="n"/>
      <c r="G1037" s="47" t="n"/>
      <c r="H1037" s="47" t="n"/>
      <c r="I1037" s="47" t="n"/>
      <c r="J1037" s="40" t="n"/>
    </row>
    <row r="1038">
      <c r="A1038" s="16">
        <f>IF($B1038="","",COUNTA($B$4:$B1038))</f>
        <v/>
      </c>
      <c r="B1038" s="71" t="n"/>
      <c r="C1038" s="44" t="n"/>
      <c r="D1038" s="45" t="n"/>
      <c r="E1038" s="45" t="n"/>
      <c r="F1038" s="45" t="n"/>
      <c r="G1038" s="45" t="n"/>
      <c r="H1038" s="45" t="n"/>
      <c r="I1038" s="45" t="n"/>
      <c r="J1038" s="38" t="n"/>
    </row>
    <row r="1039">
      <c r="A1039" s="16">
        <f>IF($B1039="","",COUNTA($B$4:$B1039))</f>
        <v/>
      </c>
      <c r="B1039" s="72" t="n"/>
      <c r="C1039" s="46" t="n"/>
      <c r="D1039" s="47" t="n"/>
      <c r="E1039" s="47" t="n"/>
      <c r="F1039" s="47" t="n"/>
      <c r="G1039" s="47" t="n"/>
      <c r="H1039" s="47" t="n"/>
      <c r="I1039" s="47" t="n"/>
      <c r="J1039" s="40" t="n"/>
    </row>
    <row r="1040">
      <c r="A1040" s="16">
        <f>IF($B1040="","",COUNTA($B$4:$B1040))</f>
        <v/>
      </c>
      <c r="B1040" s="71" t="n"/>
      <c r="C1040" s="44" t="n"/>
      <c r="D1040" s="45" t="n"/>
      <c r="E1040" s="45" t="n"/>
      <c r="F1040" s="45" t="n"/>
      <c r="G1040" s="45" t="n"/>
      <c r="H1040" s="45" t="n"/>
      <c r="I1040" s="45" t="n"/>
      <c r="J1040" s="38" t="n"/>
    </row>
    <row r="1041">
      <c r="A1041" s="16">
        <f>IF($B1041="","",COUNTA($B$4:$B1041))</f>
        <v/>
      </c>
      <c r="B1041" s="72" t="n"/>
      <c r="C1041" s="46" t="n"/>
      <c r="D1041" s="47" t="n"/>
      <c r="E1041" s="47" t="n"/>
      <c r="F1041" s="47" t="n"/>
      <c r="G1041" s="47" t="n"/>
      <c r="H1041" s="47" t="n"/>
      <c r="I1041" s="47" t="n"/>
      <c r="J1041" s="40" t="n"/>
    </row>
    <row r="1042">
      <c r="A1042" s="16">
        <f>IF($B1042="","",COUNTA($B$4:$B1042))</f>
        <v/>
      </c>
      <c r="B1042" s="71" t="n"/>
      <c r="C1042" s="44" t="n"/>
      <c r="D1042" s="45" t="n"/>
      <c r="E1042" s="45" t="n"/>
      <c r="F1042" s="45" t="n"/>
      <c r="G1042" s="45" t="n"/>
      <c r="H1042" s="45" t="n"/>
      <c r="I1042" s="45" t="n"/>
      <c r="J1042" s="38" t="n"/>
    </row>
    <row r="1043">
      <c r="A1043" s="16">
        <f>IF($B1043="","",COUNTA($B$4:$B1043))</f>
        <v/>
      </c>
      <c r="B1043" s="72" t="n"/>
      <c r="C1043" s="46" t="n"/>
      <c r="D1043" s="47" t="n"/>
      <c r="E1043" s="47" t="n"/>
      <c r="F1043" s="47" t="n"/>
      <c r="G1043" s="47" t="n"/>
      <c r="H1043" s="47" t="n"/>
      <c r="I1043" s="47" t="n"/>
      <c r="J1043" s="40" t="n"/>
    </row>
    <row r="1044">
      <c r="A1044" s="16">
        <f>IF($B1044="","",COUNTA($B$4:$B1044))</f>
        <v/>
      </c>
      <c r="B1044" s="71" t="n"/>
      <c r="C1044" s="44" t="n"/>
      <c r="D1044" s="45" t="n"/>
      <c r="E1044" s="45" t="n"/>
      <c r="F1044" s="45" t="n"/>
      <c r="G1044" s="45" t="n"/>
      <c r="H1044" s="45" t="n"/>
      <c r="I1044" s="45" t="n"/>
      <c r="J1044" s="38" t="n"/>
    </row>
    <row r="1045">
      <c r="A1045" s="16">
        <f>IF($B1045="","",COUNTA($B$4:$B1045))</f>
        <v/>
      </c>
      <c r="B1045" s="72" t="n"/>
      <c r="C1045" s="46" t="n"/>
      <c r="D1045" s="47" t="n"/>
      <c r="E1045" s="47" t="n"/>
      <c r="F1045" s="47" t="n"/>
      <c r="G1045" s="47" t="n"/>
      <c r="H1045" s="47" t="n"/>
      <c r="I1045" s="47" t="n"/>
      <c r="J1045" s="40" t="n"/>
    </row>
    <row r="1046">
      <c r="A1046" s="16">
        <f>IF($B1046="","",COUNTA($B$4:$B1046))</f>
        <v/>
      </c>
      <c r="B1046" s="71" t="n"/>
      <c r="C1046" s="44" t="n"/>
      <c r="D1046" s="45" t="n"/>
      <c r="E1046" s="45" t="n"/>
      <c r="F1046" s="45" t="n"/>
      <c r="G1046" s="45" t="n"/>
      <c r="H1046" s="45" t="n"/>
      <c r="I1046" s="45" t="n"/>
      <c r="J1046" s="38" t="n"/>
    </row>
    <row r="1047">
      <c r="A1047" s="16">
        <f>IF($B1047="","",COUNTA($B$4:$B1047))</f>
        <v/>
      </c>
      <c r="B1047" s="72" t="n"/>
      <c r="C1047" s="46" t="n"/>
      <c r="D1047" s="47" t="n"/>
      <c r="E1047" s="47" t="n"/>
      <c r="F1047" s="47" t="n"/>
      <c r="G1047" s="47" t="n"/>
      <c r="H1047" s="47" t="n"/>
      <c r="I1047" s="47" t="n"/>
      <c r="J1047" s="40" t="n"/>
    </row>
    <row r="1048">
      <c r="A1048" s="16">
        <f>IF($B1048="","",COUNTA($B$4:$B1048))</f>
        <v/>
      </c>
      <c r="B1048" s="71" t="n"/>
      <c r="C1048" s="44" t="n"/>
      <c r="D1048" s="45" t="n"/>
      <c r="E1048" s="45" t="n"/>
      <c r="F1048" s="45" t="n"/>
      <c r="G1048" s="45" t="n"/>
      <c r="H1048" s="45" t="n"/>
      <c r="I1048" s="45" t="n"/>
      <c r="J1048" s="38" t="n"/>
    </row>
    <row r="1049">
      <c r="A1049" s="16">
        <f>IF($B1049="","",COUNTA($B$4:$B1049))</f>
        <v/>
      </c>
      <c r="B1049" s="72" t="n"/>
      <c r="C1049" s="46" t="n"/>
      <c r="D1049" s="47" t="n"/>
      <c r="E1049" s="47" t="n"/>
      <c r="F1049" s="47" t="n"/>
      <c r="G1049" s="47" t="n"/>
      <c r="H1049" s="47" t="n"/>
      <c r="I1049" s="47" t="n"/>
      <c r="J1049" s="40" t="n"/>
    </row>
    <row r="1050">
      <c r="A1050" s="16">
        <f>IF($B1050="","",COUNTA($B$4:$B1050))</f>
        <v/>
      </c>
      <c r="B1050" s="71" t="n"/>
      <c r="C1050" s="44" t="n"/>
      <c r="D1050" s="45" t="n"/>
      <c r="E1050" s="45" t="n"/>
      <c r="F1050" s="45" t="n"/>
      <c r="G1050" s="45" t="n"/>
      <c r="H1050" s="45" t="n"/>
      <c r="I1050" s="45" t="n"/>
      <c r="J1050" s="38" t="n"/>
    </row>
    <row r="1051">
      <c r="A1051" s="16">
        <f>IF($B1051="","",COUNTA($B$4:$B1051))</f>
        <v/>
      </c>
      <c r="B1051" s="72" t="n"/>
      <c r="C1051" s="46" t="n"/>
      <c r="D1051" s="47" t="n"/>
      <c r="E1051" s="47" t="n"/>
      <c r="F1051" s="47" t="n"/>
      <c r="G1051" s="47" t="n"/>
      <c r="H1051" s="47" t="n"/>
      <c r="I1051" s="47" t="n"/>
      <c r="J1051" s="40" t="n"/>
    </row>
    <row r="1052">
      <c r="A1052" s="16">
        <f>IF($B1052="","",COUNTA($B$4:$B1052))</f>
        <v/>
      </c>
      <c r="B1052" s="71" t="n"/>
      <c r="C1052" s="44" t="n"/>
      <c r="D1052" s="45" t="n"/>
      <c r="E1052" s="45" t="n"/>
      <c r="F1052" s="45" t="n"/>
      <c r="G1052" s="45" t="n"/>
      <c r="H1052" s="45" t="n"/>
      <c r="I1052" s="45" t="n"/>
      <c r="J1052" s="38" t="n"/>
    </row>
    <row r="1053">
      <c r="A1053" s="16">
        <f>IF($B1053="","",COUNTA($B$4:$B1053))</f>
        <v/>
      </c>
      <c r="B1053" s="72" t="n"/>
      <c r="C1053" s="46" t="n"/>
      <c r="D1053" s="47" t="n"/>
      <c r="E1053" s="47" t="n"/>
      <c r="F1053" s="47" t="n"/>
      <c r="G1053" s="47" t="n"/>
      <c r="H1053" s="47" t="n"/>
      <c r="I1053" s="47" t="n"/>
      <c r="J1053" s="40" t="n"/>
    </row>
    <row r="1054">
      <c r="A1054" s="16">
        <f>IF($B1054="","",COUNTA($B$4:$B1054))</f>
        <v/>
      </c>
      <c r="B1054" s="71" t="n"/>
      <c r="C1054" s="44" t="n"/>
      <c r="D1054" s="45" t="n"/>
      <c r="E1054" s="45" t="n"/>
      <c r="F1054" s="45" t="n"/>
      <c r="G1054" s="45" t="n"/>
      <c r="H1054" s="45" t="n"/>
      <c r="I1054" s="45" t="n"/>
      <c r="J1054" s="38" t="n"/>
    </row>
    <row r="1055">
      <c r="A1055" s="16">
        <f>IF($B1055="","",COUNTA($B$4:$B1055))</f>
        <v/>
      </c>
      <c r="B1055" s="72" t="n"/>
      <c r="C1055" s="46" t="n"/>
      <c r="D1055" s="47" t="n"/>
      <c r="E1055" s="47" t="n"/>
      <c r="F1055" s="47" t="n"/>
      <c r="G1055" s="47" t="n"/>
      <c r="H1055" s="47" t="n"/>
      <c r="I1055" s="47" t="n"/>
      <c r="J1055" s="40" t="n"/>
    </row>
    <row r="1056">
      <c r="A1056" s="16">
        <f>IF($B1056="","",COUNTA($B$4:$B1056))</f>
        <v/>
      </c>
      <c r="B1056" s="71" t="n"/>
      <c r="C1056" s="44" t="n"/>
      <c r="D1056" s="45" t="n"/>
      <c r="E1056" s="45" t="n"/>
      <c r="F1056" s="45" t="n"/>
      <c r="G1056" s="45" t="n"/>
      <c r="H1056" s="45" t="n"/>
      <c r="I1056" s="45" t="n"/>
      <c r="J1056" s="38" t="n"/>
    </row>
    <row r="1057">
      <c r="A1057" s="16">
        <f>IF($B1057="","",COUNTA($B$4:$B1057))</f>
        <v/>
      </c>
      <c r="B1057" s="72" t="n"/>
      <c r="C1057" s="46" t="n"/>
      <c r="D1057" s="47" t="n"/>
      <c r="E1057" s="47" t="n"/>
      <c r="F1057" s="47" t="n"/>
      <c r="G1057" s="47" t="n"/>
      <c r="H1057" s="47" t="n"/>
      <c r="I1057" s="47" t="n"/>
      <c r="J1057" s="40" t="n"/>
    </row>
    <row r="1058">
      <c r="A1058" s="16">
        <f>IF($B1058="","",COUNTA($B$4:$B1058))</f>
        <v/>
      </c>
      <c r="B1058" s="71" t="n"/>
      <c r="C1058" s="44" t="n"/>
      <c r="D1058" s="45" t="n"/>
      <c r="E1058" s="45" t="n"/>
      <c r="F1058" s="45" t="n"/>
      <c r="G1058" s="45" t="n"/>
      <c r="H1058" s="45" t="n"/>
      <c r="I1058" s="45" t="n"/>
      <c r="J1058" s="38" t="n"/>
    </row>
    <row r="1059">
      <c r="A1059" s="16">
        <f>IF($B1059="","",COUNTA($B$4:$B1059))</f>
        <v/>
      </c>
      <c r="B1059" s="72" t="n"/>
      <c r="C1059" s="46" t="n"/>
      <c r="D1059" s="47" t="n"/>
      <c r="E1059" s="47" t="n"/>
      <c r="F1059" s="47" t="n"/>
      <c r="G1059" s="47" t="n"/>
      <c r="H1059" s="47" t="n"/>
      <c r="I1059" s="47" t="n"/>
      <c r="J1059" s="40" t="n"/>
    </row>
    <row r="1060">
      <c r="A1060" s="16">
        <f>IF($B1060="","",COUNTA($B$4:$B1060))</f>
        <v/>
      </c>
      <c r="B1060" s="71" t="n"/>
      <c r="C1060" s="44" t="n"/>
      <c r="D1060" s="45" t="n"/>
      <c r="E1060" s="45" t="n"/>
      <c r="F1060" s="45" t="n"/>
      <c r="G1060" s="45" t="n"/>
      <c r="H1060" s="45" t="n"/>
      <c r="I1060" s="45" t="n"/>
      <c r="J1060" s="38" t="n"/>
    </row>
    <row r="1061">
      <c r="A1061" s="16">
        <f>IF($B1061="","",COUNTA($B$4:$B1061))</f>
        <v/>
      </c>
      <c r="B1061" s="72" t="n"/>
      <c r="C1061" s="46" t="n"/>
      <c r="D1061" s="47" t="n"/>
      <c r="E1061" s="47" t="n"/>
      <c r="F1061" s="47" t="n"/>
      <c r="G1061" s="47" t="n"/>
      <c r="H1061" s="47" t="n"/>
      <c r="I1061" s="47" t="n"/>
      <c r="J1061" s="40" t="n"/>
    </row>
    <row r="1062">
      <c r="A1062" s="16">
        <f>IF($B1062="","",COUNTA($B$4:$B1062))</f>
        <v/>
      </c>
      <c r="B1062" s="71" t="n"/>
      <c r="C1062" s="44" t="n"/>
      <c r="D1062" s="45" t="n"/>
      <c r="E1062" s="45" t="n"/>
      <c r="F1062" s="45" t="n"/>
      <c r="G1062" s="45" t="n"/>
      <c r="H1062" s="45" t="n"/>
      <c r="I1062" s="45" t="n"/>
      <c r="J1062" s="38" t="n"/>
    </row>
    <row r="1063">
      <c r="A1063" s="16">
        <f>IF($B1063="","",COUNTA($B$4:$B1063))</f>
        <v/>
      </c>
      <c r="B1063" s="72" t="n"/>
      <c r="C1063" s="46" t="n"/>
      <c r="D1063" s="47" t="n"/>
      <c r="E1063" s="47" t="n"/>
      <c r="F1063" s="47" t="n"/>
      <c r="G1063" s="47" t="n"/>
      <c r="H1063" s="47" t="n"/>
      <c r="I1063" s="47" t="n"/>
      <c r="J1063" s="40" t="n"/>
    </row>
    <row r="1064">
      <c r="A1064" s="16">
        <f>IF($B1064="","",COUNTA($B$4:$B1064))</f>
        <v/>
      </c>
      <c r="B1064" s="71" t="n"/>
      <c r="C1064" s="44" t="n"/>
      <c r="D1064" s="45" t="n"/>
      <c r="E1064" s="45" t="n"/>
      <c r="F1064" s="45" t="n"/>
      <c r="G1064" s="45" t="n"/>
      <c r="H1064" s="45" t="n"/>
      <c r="I1064" s="45" t="n"/>
      <c r="J1064" s="38" t="n"/>
    </row>
    <row r="1065">
      <c r="A1065" s="16">
        <f>IF($B1065="","",COUNTA($B$4:$B1065))</f>
        <v/>
      </c>
      <c r="B1065" s="72" t="n"/>
      <c r="C1065" s="46" t="n"/>
      <c r="D1065" s="47" t="n"/>
      <c r="E1065" s="47" t="n"/>
      <c r="F1065" s="47" t="n"/>
      <c r="G1065" s="47" t="n"/>
      <c r="H1065" s="47" t="n"/>
      <c r="I1065" s="47" t="n"/>
      <c r="J1065" s="40" t="n"/>
    </row>
    <row r="1066">
      <c r="A1066" s="16">
        <f>IF($B1066="","",COUNTA($B$4:$B1066))</f>
        <v/>
      </c>
      <c r="B1066" s="71" t="n"/>
      <c r="C1066" s="44" t="n"/>
      <c r="D1066" s="45" t="n"/>
      <c r="E1066" s="45" t="n"/>
      <c r="F1066" s="45" t="n"/>
      <c r="G1066" s="45" t="n"/>
      <c r="H1066" s="45" t="n"/>
      <c r="I1066" s="45" t="n"/>
      <c r="J1066" s="38" t="n"/>
    </row>
    <row r="1067">
      <c r="A1067" s="16">
        <f>IF($B1067="","",COUNTA($B$4:$B1067))</f>
        <v/>
      </c>
      <c r="B1067" s="72" t="n"/>
      <c r="C1067" s="46" t="n"/>
      <c r="D1067" s="47" t="n"/>
      <c r="E1067" s="47" t="n"/>
      <c r="F1067" s="47" t="n"/>
      <c r="G1067" s="47" t="n"/>
      <c r="H1067" s="47" t="n"/>
      <c r="I1067" s="47" t="n"/>
      <c r="J1067" s="40" t="n"/>
    </row>
    <row r="1068">
      <c r="A1068" s="16">
        <f>IF($B1068="","",COUNTA($B$4:$B1068))</f>
        <v/>
      </c>
      <c r="B1068" s="71" t="n"/>
      <c r="C1068" s="44" t="n"/>
      <c r="D1068" s="45" t="n"/>
      <c r="E1068" s="45" t="n"/>
      <c r="F1068" s="45" t="n"/>
      <c r="G1068" s="45" t="n"/>
      <c r="H1068" s="45" t="n"/>
      <c r="I1068" s="45" t="n"/>
      <c r="J1068" s="38" t="n"/>
    </row>
    <row r="1069">
      <c r="A1069" s="16">
        <f>IF($B1069="","",COUNTA($B$4:$B1069))</f>
        <v/>
      </c>
      <c r="B1069" s="72" t="n"/>
      <c r="C1069" s="46" t="n"/>
      <c r="D1069" s="47" t="n"/>
      <c r="E1069" s="47" t="n"/>
      <c r="F1069" s="47" t="n"/>
      <c r="G1069" s="47" t="n"/>
      <c r="H1069" s="47" t="n"/>
      <c r="I1069" s="47" t="n"/>
      <c r="J1069" s="40" t="n"/>
    </row>
    <row r="1070">
      <c r="A1070" s="16">
        <f>IF($B1070="","",COUNTA($B$4:$B1070))</f>
        <v/>
      </c>
      <c r="B1070" s="71" t="n"/>
      <c r="C1070" s="44" t="n"/>
      <c r="D1070" s="45" t="n"/>
      <c r="E1070" s="45" t="n"/>
      <c r="F1070" s="45" t="n"/>
      <c r="G1070" s="45" t="n"/>
      <c r="H1070" s="45" t="n"/>
      <c r="I1070" s="45" t="n"/>
      <c r="J1070" s="38" t="n"/>
    </row>
    <row r="1071">
      <c r="A1071" s="16">
        <f>IF($B1071="","",COUNTA($B$4:$B1071))</f>
        <v/>
      </c>
      <c r="B1071" s="72" t="n"/>
      <c r="C1071" s="46" t="n"/>
      <c r="D1071" s="47" t="n"/>
      <c r="E1071" s="47" t="n"/>
      <c r="F1071" s="47" t="n"/>
      <c r="G1071" s="47" t="n"/>
      <c r="H1071" s="47" t="n"/>
      <c r="I1071" s="47" t="n"/>
      <c r="J1071" s="40" t="n"/>
    </row>
    <row r="1072">
      <c r="A1072" s="16">
        <f>IF($B1072="","",COUNTA($B$4:$B1072))</f>
        <v/>
      </c>
      <c r="B1072" s="71" t="n"/>
      <c r="C1072" s="44" t="n"/>
      <c r="D1072" s="45" t="n"/>
      <c r="E1072" s="45" t="n"/>
      <c r="F1072" s="45" t="n"/>
      <c r="G1072" s="45" t="n"/>
      <c r="H1072" s="45" t="n"/>
      <c r="I1072" s="45" t="n"/>
      <c r="J1072" s="38" t="n"/>
    </row>
    <row r="1073">
      <c r="A1073" s="16">
        <f>IF($B1073="","",COUNTA($B$4:$B1073))</f>
        <v/>
      </c>
      <c r="B1073" s="72" t="n"/>
      <c r="C1073" s="46" t="n"/>
      <c r="D1073" s="47" t="n"/>
      <c r="E1073" s="47" t="n"/>
      <c r="F1073" s="47" t="n"/>
      <c r="G1073" s="47" t="n"/>
      <c r="H1073" s="47" t="n"/>
      <c r="I1073" s="47" t="n"/>
      <c r="J1073" s="40" t="n"/>
    </row>
    <row r="1074">
      <c r="A1074" s="16">
        <f>IF($B1074="","",COUNTA($B$4:$B1074))</f>
        <v/>
      </c>
      <c r="B1074" s="71" t="n"/>
      <c r="C1074" s="44" t="n"/>
      <c r="D1074" s="45" t="n"/>
      <c r="E1074" s="45" t="n"/>
      <c r="F1074" s="45" t="n"/>
      <c r="G1074" s="45" t="n"/>
      <c r="H1074" s="45" t="n"/>
      <c r="I1074" s="45" t="n"/>
      <c r="J1074" s="38" t="n"/>
    </row>
    <row r="1075">
      <c r="A1075" s="16">
        <f>IF($B1075="","",COUNTA($B$4:$B1075))</f>
        <v/>
      </c>
      <c r="B1075" s="72" t="n"/>
      <c r="C1075" s="46" t="n"/>
      <c r="D1075" s="47" t="n"/>
      <c r="E1075" s="47" t="n"/>
      <c r="F1075" s="47" t="n"/>
      <c r="G1075" s="47" t="n"/>
      <c r="H1075" s="47" t="n"/>
      <c r="I1075" s="47" t="n"/>
      <c r="J1075" s="40" t="n"/>
    </row>
    <row r="1076">
      <c r="A1076" s="16">
        <f>IF($B1076="","",COUNTA($B$4:$B1076))</f>
        <v/>
      </c>
      <c r="B1076" s="71" t="n"/>
      <c r="C1076" s="44" t="n"/>
      <c r="D1076" s="45" t="n"/>
      <c r="E1076" s="45" t="n"/>
      <c r="F1076" s="45" t="n"/>
      <c r="G1076" s="45" t="n"/>
      <c r="H1076" s="45" t="n"/>
      <c r="I1076" s="45" t="n"/>
      <c r="J1076" s="38" t="n"/>
    </row>
    <row r="1077">
      <c r="A1077" s="16">
        <f>IF($B1077="","",COUNTA($B$4:$B1077))</f>
        <v/>
      </c>
      <c r="B1077" s="72" t="n"/>
      <c r="C1077" s="46" t="n"/>
      <c r="D1077" s="47" t="n"/>
      <c r="E1077" s="47" t="n"/>
      <c r="F1077" s="47" t="n"/>
      <c r="G1077" s="47" t="n"/>
      <c r="H1077" s="47" t="n"/>
      <c r="I1077" s="47" t="n"/>
      <c r="J1077" s="40" t="n"/>
    </row>
    <row r="1078">
      <c r="A1078" s="16">
        <f>IF($B1078="","",COUNTA($B$4:$B1078))</f>
        <v/>
      </c>
      <c r="B1078" s="71" t="n"/>
      <c r="C1078" s="44" t="n"/>
      <c r="D1078" s="45" t="n"/>
      <c r="E1078" s="45" t="n"/>
      <c r="F1078" s="45" t="n"/>
      <c r="G1078" s="45" t="n"/>
      <c r="H1078" s="45" t="n"/>
      <c r="I1078" s="45" t="n"/>
      <c r="J1078" s="38" t="n"/>
    </row>
    <row r="1079">
      <c r="A1079" s="16">
        <f>IF($B1079="","",COUNTA($B$4:$B1079))</f>
        <v/>
      </c>
      <c r="B1079" s="72" t="n"/>
      <c r="C1079" s="46" t="n"/>
      <c r="D1079" s="47" t="n"/>
      <c r="E1079" s="47" t="n"/>
      <c r="F1079" s="47" t="n"/>
      <c r="G1079" s="47" t="n"/>
      <c r="H1079" s="47" t="n"/>
      <c r="I1079" s="47" t="n"/>
      <c r="J1079" s="40" t="n"/>
    </row>
    <row r="1080">
      <c r="A1080" s="16">
        <f>IF($B1080="","",COUNTA($B$4:$B1080))</f>
        <v/>
      </c>
      <c r="B1080" s="71" t="n"/>
      <c r="C1080" s="44" t="n"/>
      <c r="D1080" s="45" t="n"/>
      <c r="E1080" s="45" t="n"/>
      <c r="F1080" s="45" t="n"/>
      <c r="G1080" s="45" t="n"/>
      <c r="H1080" s="45" t="n"/>
      <c r="I1080" s="45" t="n"/>
      <c r="J1080" s="38" t="n"/>
    </row>
    <row r="1081">
      <c r="A1081" s="16">
        <f>IF($B1081="","",COUNTA($B$4:$B1081))</f>
        <v/>
      </c>
      <c r="B1081" s="72" t="n"/>
      <c r="C1081" s="46" t="n"/>
      <c r="D1081" s="47" t="n"/>
      <c r="E1081" s="47" t="n"/>
      <c r="F1081" s="47" t="n"/>
      <c r="G1081" s="47" t="n"/>
      <c r="H1081" s="47" t="n"/>
      <c r="I1081" s="47" t="n"/>
      <c r="J1081" s="40" t="n"/>
    </row>
    <row r="1082">
      <c r="A1082" s="16">
        <f>IF($B1082="","",COUNTA($B$4:$B1082))</f>
        <v/>
      </c>
      <c r="B1082" s="71" t="n"/>
      <c r="C1082" s="44" t="n"/>
      <c r="D1082" s="45" t="n"/>
      <c r="E1082" s="45" t="n"/>
      <c r="F1082" s="45" t="n"/>
      <c r="G1082" s="45" t="n"/>
      <c r="H1082" s="45" t="n"/>
      <c r="I1082" s="45" t="n"/>
      <c r="J1082" s="38" t="n"/>
    </row>
    <row r="1083">
      <c r="A1083" s="16">
        <f>IF($B1083="","",COUNTA($B$4:$B1083))</f>
        <v/>
      </c>
      <c r="B1083" s="72" t="n"/>
      <c r="C1083" s="46" t="n"/>
      <c r="D1083" s="47" t="n"/>
      <c r="E1083" s="47" t="n"/>
      <c r="F1083" s="47" t="n"/>
      <c r="G1083" s="47" t="n"/>
      <c r="H1083" s="47" t="n"/>
      <c r="I1083" s="47" t="n"/>
      <c r="J1083" s="40" t="n"/>
    </row>
    <row r="1084">
      <c r="A1084" s="16">
        <f>IF($B1084="","",COUNTA($B$4:$B1084))</f>
        <v/>
      </c>
      <c r="B1084" s="71" t="n"/>
      <c r="C1084" s="44" t="n"/>
      <c r="D1084" s="45" t="n"/>
      <c r="E1084" s="45" t="n"/>
      <c r="F1084" s="45" t="n"/>
      <c r="G1084" s="45" t="n"/>
      <c r="H1084" s="45" t="n"/>
      <c r="I1084" s="45" t="n"/>
      <c r="J1084" s="38" t="n"/>
    </row>
    <row r="1085">
      <c r="A1085" s="16">
        <f>IF($B1085="","",COUNTA($B$4:$B1085))</f>
        <v/>
      </c>
      <c r="B1085" s="72" t="n"/>
      <c r="C1085" s="46" t="n"/>
      <c r="D1085" s="47" t="n"/>
      <c r="E1085" s="47" t="n"/>
      <c r="F1085" s="47" t="n"/>
      <c r="G1085" s="47" t="n"/>
      <c r="H1085" s="47" t="n"/>
      <c r="I1085" s="47" t="n"/>
      <c r="J1085" s="40" t="n"/>
    </row>
    <row r="1086">
      <c r="A1086" s="16">
        <f>IF($B1086="","",COUNTA($B$4:$B1086))</f>
        <v/>
      </c>
      <c r="B1086" s="71" t="n"/>
      <c r="C1086" s="44" t="n"/>
      <c r="D1086" s="45" t="n"/>
      <c r="E1086" s="45" t="n"/>
      <c r="F1086" s="45" t="n"/>
      <c r="G1086" s="45" t="n"/>
      <c r="H1086" s="45" t="n"/>
      <c r="I1086" s="45" t="n"/>
      <c r="J1086" s="38" t="n"/>
    </row>
    <row r="1087">
      <c r="A1087" s="16">
        <f>IF($B1087="","",COUNTA($B$4:$B1087))</f>
        <v/>
      </c>
      <c r="B1087" s="72" t="n"/>
      <c r="C1087" s="46" t="n"/>
      <c r="D1087" s="47" t="n"/>
      <c r="E1087" s="47" t="n"/>
      <c r="F1087" s="47" t="n"/>
      <c r="G1087" s="47" t="n"/>
      <c r="H1087" s="47" t="n"/>
      <c r="I1087" s="47" t="n"/>
      <c r="J1087" s="40" t="n"/>
    </row>
    <row r="1088">
      <c r="A1088" s="16">
        <f>IF($B1088="","",COUNTA($B$4:$B1088))</f>
        <v/>
      </c>
      <c r="B1088" s="71" t="n"/>
      <c r="C1088" s="44" t="n"/>
      <c r="D1088" s="45" t="n"/>
      <c r="E1088" s="45" t="n"/>
      <c r="F1088" s="45" t="n"/>
      <c r="G1088" s="45" t="n"/>
      <c r="H1088" s="45" t="n"/>
      <c r="I1088" s="45" t="n"/>
      <c r="J1088" s="38" t="n"/>
    </row>
    <row r="1089">
      <c r="A1089" s="16">
        <f>IF($B1089="","",COUNTA($B$4:$B1089))</f>
        <v/>
      </c>
      <c r="B1089" s="72" t="n"/>
      <c r="C1089" s="46" t="n"/>
      <c r="D1089" s="47" t="n"/>
      <c r="E1089" s="47" t="n"/>
      <c r="F1089" s="47" t="n"/>
      <c r="G1089" s="47" t="n"/>
      <c r="H1089" s="47" t="n"/>
      <c r="I1089" s="47" t="n"/>
      <c r="J1089" s="40" t="n"/>
    </row>
    <row r="1090">
      <c r="A1090" s="16">
        <f>IF($B1090="","",COUNTA($B$4:$B1090))</f>
        <v/>
      </c>
      <c r="B1090" s="71" t="n"/>
      <c r="C1090" s="44" t="n"/>
      <c r="D1090" s="45" t="n"/>
      <c r="E1090" s="45" t="n"/>
      <c r="F1090" s="45" t="n"/>
      <c r="G1090" s="45" t="n"/>
      <c r="H1090" s="45" t="n"/>
      <c r="I1090" s="45" t="n"/>
      <c r="J1090" s="38" t="n"/>
    </row>
    <row r="1091">
      <c r="A1091" s="16">
        <f>IF($B1091="","",COUNTA($B$4:$B1091))</f>
        <v/>
      </c>
      <c r="B1091" s="72" t="n"/>
      <c r="C1091" s="46" t="n"/>
      <c r="D1091" s="47" t="n"/>
      <c r="E1091" s="47" t="n"/>
      <c r="F1091" s="47" t="n"/>
      <c r="G1091" s="47" t="n"/>
      <c r="H1091" s="47" t="n"/>
      <c r="I1091" s="47" t="n"/>
      <c r="J1091" s="40" t="n"/>
    </row>
    <row r="1092">
      <c r="A1092" s="16">
        <f>IF($B1092="","",COUNTA($B$4:$B1092))</f>
        <v/>
      </c>
      <c r="B1092" s="71" t="n"/>
      <c r="C1092" s="44" t="n"/>
      <c r="D1092" s="45" t="n"/>
      <c r="E1092" s="45" t="n"/>
      <c r="F1092" s="45" t="n"/>
      <c r="G1092" s="45" t="n"/>
      <c r="H1092" s="45" t="n"/>
      <c r="I1092" s="45" t="n"/>
      <c r="J1092" s="38" t="n"/>
    </row>
    <row r="1093">
      <c r="A1093" s="16">
        <f>IF($B1093="","",COUNTA($B$4:$B1093))</f>
        <v/>
      </c>
      <c r="B1093" s="72" t="n"/>
      <c r="C1093" s="46" t="n"/>
      <c r="D1093" s="47" t="n"/>
      <c r="E1093" s="47" t="n"/>
      <c r="F1093" s="47" t="n"/>
      <c r="G1093" s="47" t="n"/>
      <c r="H1093" s="47" t="n"/>
      <c r="I1093" s="47" t="n"/>
      <c r="J1093" s="40" t="n"/>
    </row>
    <row r="1094">
      <c r="A1094" s="16">
        <f>IF($B1094="","",COUNTA($B$4:$B1094))</f>
        <v/>
      </c>
      <c r="B1094" s="71" t="n"/>
      <c r="C1094" s="44" t="n"/>
      <c r="D1094" s="45" t="n"/>
      <c r="E1094" s="45" t="n"/>
      <c r="F1094" s="45" t="n"/>
      <c r="G1094" s="45" t="n"/>
      <c r="H1094" s="45" t="n"/>
      <c r="I1094" s="45" t="n"/>
      <c r="J1094" s="38" t="n"/>
    </row>
    <row r="1095">
      <c r="A1095" s="16">
        <f>IF($B1095="","",COUNTA($B$4:$B1095))</f>
        <v/>
      </c>
      <c r="B1095" s="72" t="n"/>
      <c r="C1095" s="46" t="n"/>
      <c r="D1095" s="47" t="n"/>
      <c r="E1095" s="47" t="n"/>
      <c r="F1095" s="47" t="n"/>
      <c r="G1095" s="47" t="n"/>
      <c r="H1095" s="47" t="n"/>
      <c r="I1095" s="47" t="n"/>
      <c r="J1095" s="40" t="n"/>
    </row>
    <row r="1096">
      <c r="A1096" s="16">
        <f>IF($B1096="","",COUNTA($B$4:$B1096))</f>
        <v/>
      </c>
      <c r="B1096" s="71" t="n"/>
      <c r="C1096" s="44" t="n"/>
      <c r="D1096" s="45" t="n"/>
      <c r="E1096" s="45" t="n"/>
      <c r="F1096" s="45" t="n"/>
      <c r="G1096" s="45" t="n"/>
      <c r="H1096" s="45" t="n"/>
      <c r="I1096" s="45" t="n"/>
      <c r="J1096" s="38" t="n"/>
    </row>
    <row r="1097">
      <c r="A1097" s="16">
        <f>IF($B1097="","",COUNTA($B$4:$B1097))</f>
        <v/>
      </c>
      <c r="B1097" s="72" t="n"/>
      <c r="C1097" s="46" t="n"/>
      <c r="D1097" s="47" t="n"/>
      <c r="E1097" s="47" t="n"/>
      <c r="F1097" s="47" t="n"/>
      <c r="G1097" s="47" t="n"/>
      <c r="H1097" s="47" t="n"/>
      <c r="I1097" s="47" t="n"/>
      <c r="J1097" s="40" t="n"/>
    </row>
    <row r="1098">
      <c r="A1098" s="16">
        <f>IF($B1098="","",COUNTA($B$4:$B1098))</f>
        <v/>
      </c>
      <c r="B1098" s="71" t="n"/>
      <c r="C1098" s="44" t="n"/>
      <c r="D1098" s="45" t="n"/>
      <c r="E1098" s="45" t="n"/>
      <c r="F1098" s="45" t="n"/>
      <c r="G1098" s="45" t="n"/>
      <c r="H1098" s="45" t="n"/>
      <c r="I1098" s="45" t="n"/>
      <c r="J1098" s="38" t="n"/>
    </row>
    <row r="1099">
      <c r="A1099" s="16">
        <f>IF($B1099="","",COUNTA($B$4:$B1099))</f>
        <v/>
      </c>
      <c r="B1099" s="72" t="n"/>
      <c r="C1099" s="46" t="n"/>
      <c r="D1099" s="47" t="n"/>
      <c r="E1099" s="47" t="n"/>
      <c r="F1099" s="47" t="n"/>
      <c r="G1099" s="47" t="n"/>
      <c r="H1099" s="47" t="n"/>
      <c r="I1099" s="47" t="n"/>
      <c r="J1099" s="40" t="n"/>
    </row>
    <row r="1100">
      <c r="A1100" s="16">
        <f>IF($B1100="","",COUNTA($B$4:$B1100))</f>
        <v/>
      </c>
      <c r="B1100" s="71" t="n"/>
      <c r="C1100" s="44" t="n"/>
      <c r="D1100" s="45" t="n"/>
      <c r="E1100" s="45" t="n"/>
      <c r="F1100" s="45" t="n"/>
      <c r="G1100" s="45" t="n"/>
      <c r="H1100" s="45" t="n"/>
      <c r="I1100" s="45" t="n"/>
      <c r="J1100" s="38" t="n"/>
    </row>
    <row r="1101">
      <c r="A1101" s="16">
        <f>IF($B1101="","",COUNTA($B$4:$B1101))</f>
        <v/>
      </c>
      <c r="B1101" s="72" t="n"/>
      <c r="C1101" s="46" t="n"/>
      <c r="D1101" s="47" t="n"/>
      <c r="E1101" s="47" t="n"/>
      <c r="F1101" s="47" t="n"/>
      <c r="G1101" s="47" t="n"/>
      <c r="H1101" s="47" t="n"/>
      <c r="I1101" s="47" t="n"/>
      <c r="J1101" s="40" t="n"/>
    </row>
    <row r="1102">
      <c r="A1102" s="16">
        <f>IF($B1102="","",COUNTA($B$4:$B1102))</f>
        <v/>
      </c>
      <c r="B1102" s="71" t="n"/>
      <c r="C1102" s="44" t="n"/>
      <c r="D1102" s="45" t="n"/>
      <c r="E1102" s="45" t="n"/>
      <c r="F1102" s="45" t="n"/>
      <c r="G1102" s="45" t="n"/>
      <c r="H1102" s="45" t="n"/>
      <c r="I1102" s="45" t="n"/>
      <c r="J1102" s="38" t="n"/>
    </row>
    <row r="1103">
      <c r="A1103" s="16">
        <f>IF($B1103="","",COUNTA($B$4:$B1103))</f>
        <v/>
      </c>
      <c r="B1103" s="72" t="n"/>
      <c r="C1103" s="46" t="n"/>
      <c r="D1103" s="47" t="n"/>
      <c r="E1103" s="47" t="n"/>
      <c r="F1103" s="47" t="n"/>
      <c r="G1103" s="47" t="n"/>
      <c r="H1103" s="47" t="n"/>
      <c r="I1103" s="47" t="n"/>
      <c r="J1103" s="40" t="n"/>
    </row>
    <row r="1104">
      <c r="A1104" s="16">
        <f>IF($B1104="","",COUNTA($B$4:$B1104))</f>
        <v/>
      </c>
      <c r="B1104" s="71" t="n"/>
      <c r="C1104" s="44" t="n"/>
      <c r="D1104" s="45" t="n"/>
      <c r="E1104" s="45" t="n"/>
      <c r="F1104" s="45" t="n"/>
      <c r="G1104" s="45" t="n"/>
      <c r="H1104" s="45" t="n"/>
      <c r="I1104" s="45" t="n"/>
      <c r="J1104" s="38" t="n"/>
    </row>
    <row r="1105">
      <c r="A1105" s="16">
        <f>IF($B1105="","",COUNTA($B$4:$B1105))</f>
        <v/>
      </c>
      <c r="B1105" s="72" t="n"/>
      <c r="C1105" s="46" t="n"/>
      <c r="D1105" s="47" t="n"/>
      <c r="E1105" s="47" t="n"/>
      <c r="F1105" s="47" t="n"/>
      <c r="G1105" s="47" t="n"/>
      <c r="H1105" s="47" t="n"/>
      <c r="I1105" s="47" t="n"/>
      <c r="J1105" s="40" t="n"/>
    </row>
    <row r="1106">
      <c r="A1106" s="16">
        <f>IF($B1106="","",COUNTA($B$4:$B1106))</f>
        <v/>
      </c>
      <c r="B1106" s="71" t="n"/>
      <c r="C1106" s="44" t="n"/>
      <c r="D1106" s="45" t="n"/>
      <c r="E1106" s="45" t="n"/>
      <c r="F1106" s="45" t="n"/>
      <c r="G1106" s="45" t="n"/>
      <c r="H1106" s="45" t="n"/>
      <c r="I1106" s="45" t="n"/>
      <c r="J1106" s="38" t="n"/>
    </row>
    <row r="1107">
      <c r="A1107" s="16">
        <f>IF($B1107="","",COUNTA($B$4:$B1107))</f>
        <v/>
      </c>
      <c r="B1107" s="72" t="n"/>
      <c r="C1107" s="46" t="n"/>
      <c r="D1107" s="47" t="n"/>
      <c r="E1107" s="47" t="n"/>
      <c r="F1107" s="47" t="n"/>
      <c r="G1107" s="47" t="n"/>
      <c r="H1107" s="47" t="n"/>
      <c r="I1107" s="47" t="n"/>
      <c r="J1107" s="40" t="n"/>
    </row>
    <row r="1108">
      <c r="A1108" s="16">
        <f>IF($B1108="","",COUNTA($B$4:$B1108))</f>
        <v/>
      </c>
      <c r="B1108" s="71" t="n"/>
      <c r="C1108" s="44" t="n"/>
      <c r="D1108" s="45" t="n"/>
      <c r="E1108" s="45" t="n"/>
      <c r="F1108" s="45" t="n"/>
      <c r="G1108" s="45" t="n"/>
      <c r="H1108" s="45" t="n"/>
      <c r="I1108" s="45" t="n"/>
      <c r="J1108" s="38" t="n"/>
    </row>
    <row r="1109">
      <c r="A1109" s="16">
        <f>IF($B1109="","",COUNTA($B$4:$B1109))</f>
        <v/>
      </c>
      <c r="B1109" s="72" t="n"/>
      <c r="C1109" s="46" t="n"/>
      <c r="D1109" s="47" t="n"/>
      <c r="E1109" s="47" t="n"/>
      <c r="F1109" s="47" t="n"/>
      <c r="G1109" s="47" t="n"/>
      <c r="H1109" s="47" t="n"/>
      <c r="I1109" s="47" t="n"/>
      <c r="J1109" s="40" t="n"/>
    </row>
    <row r="1110">
      <c r="A1110" s="16">
        <f>IF($B1110="","",COUNTA($B$4:$B1110))</f>
        <v/>
      </c>
      <c r="B1110" s="71" t="n"/>
      <c r="C1110" s="44" t="n"/>
      <c r="D1110" s="45" t="n"/>
      <c r="E1110" s="45" t="n"/>
      <c r="F1110" s="45" t="n"/>
      <c r="G1110" s="45" t="n"/>
      <c r="H1110" s="45" t="n"/>
      <c r="I1110" s="45" t="n"/>
      <c r="J1110" s="38" t="n"/>
    </row>
    <row r="1111">
      <c r="A1111" s="16">
        <f>IF($B1111="","",COUNTA($B$4:$B1111))</f>
        <v/>
      </c>
      <c r="B1111" s="72" t="n"/>
      <c r="C1111" s="46" t="n"/>
      <c r="D1111" s="47" t="n"/>
      <c r="E1111" s="47" t="n"/>
      <c r="F1111" s="47" t="n"/>
      <c r="G1111" s="47" t="n"/>
      <c r="H1111" s="47" t="n"/>
      <c r="I1111" s="47" t="n"/>
      <c r="J1111" s="40" t="n"/>
    </row>
    <row r="1112">
      <c r="A1112" s="16">
        <f>IF($B1112="","",COUNTA($B$4:$B1112))</f>
        <v/>
      </c>
      <c r="B1112" s="71" t="n"/>
      <c r="C1112" s="44" t="n"/>
      <c r="D1112" s="45" t="n"/>
      <c r="E1112" s="45" t="n"/>
      <c r="F1112" s="45" t="n"/>
      <c r="G1112" s="45" t="n"/>
      <c r="H1112" s="45" t="n"/>
      <c r="I1112" s="45" t="n"/>
      <c r="J1112" s="38" t="n"/>
    </row>
    <row r="1113">
      <c r="A1113" s="16">
        <f>IF($B1113="","",COUNTA($B$4:$B1113))</f>
        <v/>
      </c>
      <c r="B1113" s="72" t="n"/>
      <c r="C1113" s="46" t="n"/>
      <c r="D1113" s="47" t="n"/>
      <c r="E1113" s="47" t="n"/>
      <c r="F1113" s="47" t="n"/>
      <c r="G1113" s="47" t="n"/>
      <c r="H1113" s="47" t="n"/>
      <c r="I1113" s="47" t="n"/>
      <c r="J1113" s="40" t="n"/>
    </row>
    <row r="1114">
      <c r="A1114" s="16">
        <f>IF($B1114="","",COUNTA($B$4:$B1114))</f>
        <v/>
      </c>
      <c r="B1114" s="71" t="n"/>
      <c r="C1114" s="44" t="n"/>
      <c r="D1114" s="45" t="n"/>
      <c r="E1114" s="45" t="n"/>
      <c r="F1114" s="45" t="n"/>
      <c r="G1114" s="45" t="n"/>
      <c r="H1114" s="45" t="n"/>
      <c r="I1114" s="45" t="n"/>
      <c r="J1114" s="38" t="n"/>
    </row>
    <row r="1115">
      <c r="A1115" s="16">
        <f>IF($B1115="","",COUNTA($B$4:$B1115))</f>
        <v/>
      </c>
      <c r="B1115" s="72" t="n"/>
      <c r="C1115" s="46" t="n"/>
      <c r="D1115" s="47" t="n"/>
      <c r="E1115" s="47" t="n"/>
      <c r="F1115" s="47" t="n"/>
      <c r="G1115" s="47" t="n"/>
      <c r="H1115" s="47" t="n"/>
      <c r="I1115" s="47" t="n"/>
      <c r="J1115" s="40" t="n"/>
    </row>
    <row r="1116">
      <c r="A1116" s="16">
        <f>IF($B1116="","",COUNTA($B$4:$B1116))</f>
        <v/>
      </c>
      <c r="B1116" s="71" t="n"/>
      <c r="C1116" s="44" t="n"/>
      <c r="D1116" s="45" t="n"/>
      <c r="E1116" s="45" t="n"/>
      <c r="F1116" s="45" t="n"/>
      <c r="G1116" s="45" t="n"/>
      <c r="H1116" s="45" t="n"/>
      <c r="I1116" s="45" t="n"/>
      <c r="J1116" s="38" t="n"/>
    </row>
    <row r="1117">
      <c r="A1117" s="16">
        <f>IF($B1117="","",COUNTA($B$4:$B1117))</f>
        <v/>
      </c>
      <c r="B1117" s="72" t="n"/>
      <c r="C1117" s="46" t="n"/>
      <c r="D1117" s="47" t="n"/>
      <c r="E1117" s="47" t="n"/>
      <c r="F1117" s="47" t="n"/>
      <c r="G1117" s="47" t="n"/>
      <c r="H1117" s="47" t="n"/>
      <c r="I1117" s="47" t="n"/>
      <c r="J1117" s="40" t="n"/>
    </row>
    <row r="1118">
      <c r="A1118" s="16">
        <f>IF($B1118="","",COUNTA($B$4:$B1118))</f>
        <v/>
      </c>
      <c r="B1118" s="71" t="n"/>
      <c r="C1118" s="44" t="n"/>
      <c r="D1118" s="45" t="n"/>
      <c r="E1118" s="45" t="n"/>
      <c r="F1118" s="45" t="n"/>
      <c r="G1118" s="45" t="n"/>
      <c r="H1118" s="45" t="n"/>
      <c r="I1118" s="45" t="n"/>
      <c r="J1118" s="38" t="n"/>
    </row>
    <row r="1119">
      <c r="A1119" s="16">
        <f>IF($B1119="","",COUNTA($B$4:$B1119))</f>
        <v/>
      </c>
      <c r="B1119" s="72" t="n"/>
      <c r="C1119" s="46" t="n"/>
      <c r="D1119" s="47" t="n"/>
      <c r="E1119" s="47" t="n"/>
      <c r="F1119" s="47" t="n"/>
      <c r="G1119" s="47" t="n"/>
      <c r="H1119" s="47" t="n"/>
      <c r="I1119" s="47" t="n"/>
      <c r="J1119" s="40" t="n"/>
    </row>
    <row r="1120">
      <c r="A1120" s="16">
        <f>IF($B1120="","",COUNTA($B$4:$B1120))</f>
        <v/>
      </c>
      <c r="B1120" s="71" t="n"/>
      <c r="C1120" s="44" t="n"/>
      <c r="D1120" s="45" t="n"/>
      <c r="E1120" s="45" t="n"/>
      <c r="F1120" s="45" t="n"/>
      <c r="G1120" s="45" t="n"/>
      <c r="H1120" s="45" t="n"/>
      <c r="I1120" s="45" t="n"/>
      <c r="J1120" s="38" t="n"/>
    </row>
    <row r="1121">
      <c r="A1121" s="16">
        <f>IF($B1121="","",COUNTA($B$4:$B1121))</f>
        <v/>
      </c>
      <c r="B1121" s="72" t="n"/>
      <c r="C1121" s="46" t="n"/>
      <c r="D1121" s="47" t="n"/>
      <c r="E1121" s="47" t="n"/>
      <c r="F1121" s="47" t="n"/>
      <c r="G1121" s="47" t="n"/>
      <c r="H1121" s="47" t="n"/>
      <c r="I1121" s="47" t="n"/>
      <c r="J1121" s="40" t="n"/>
    </row>
    <row r="1122">
      <c r="A1122" s="16">
        <f>IF($B1122="","",COUNTA($B$4:$B1122))</f>
        <v/>
      </c>
      <c r="B1122" s="71" t="n"/>
      <c r="C1122" s="44" t="n"/>
      <c r="D1122" s="45" t="n"/>
      <c r="E1122" s="45" t="n"/>
      <c r="F1122" s="45" t="n"/>
      <c r="G1122" s="45" t="n"/>
      <c r="H1122" s="45" t="n"/>
      <c r="I1122" s="45" t="n"/>
      <c r="J1122" s="38" t="n"/>
    </row>
    <row r="1123">
      <c r="A1123" s="16">
        <f>IF($B1123="","",COUNTA($B$4:$B1123))</f>
        <v/>
      </c>
      <c r="B1123" s="72" t="n"/>
      <c r="C1123" s="46" t="n"/>
      <c r="D1123" s="47" t="n"/>
      <c r="E1123" s="47" t="n"/>
      <c r="F1123" s="47" t="n"/>
      <c r="G1123" s="47" t="n"/>
      <c r="H1123" s="47" t="n"/>
      <c r="I1123" s="47" t="n"/>
      <c r="J1123" s="40" t="n"/>
    </row>
    <row r="1124">
      <c r="A1124" s="16">
        <f>IF($B1124="","",COUNTA($B$4:$B1124))</f>
        <v/>
      </c>
      <c r="B1124" s="71" t="n"/>
      <c r="C1124" s="44" t="n"/>
      <c r="D1124" s="45" t="n"/>
      <c r="E1124" s="45" t="n"/>
      <c r="F1124" s="45" t="n"/>
      <c r="G1124" s="45" t="n"/>
      <c r="H1124" s="45" t="n"/>
      <c r="I1124" s="45" t="n"/>
      <c r="J1124" s="38" t="n"/>
    </row>
    <row r="1125">
      <c r="A1125" s="16">
        <f>IF($B1125="","",COUNTA($B$4:$B1125))</f>
        <v/>
      </c>
      <c r="B1125" s="72" t="n"/>
      <c r="C1125" s="46" t="n"/>
      <c r="D1125" s="47" t="n"/>
      <c r="E1125" s="47" t="n"/>
      <c r="F1125" s="47" t="n"/>
      <c r="G1125" s="47" t="n"/>
      <c r="H1125" s="47" t="n"/>
      <c r="I1125" s="47" t="n"/>
      <c r="J1125" s="40" t="n"/>
    </row>
    <row r="1126">
      <c r="A1126" s="16">
        <f>IF($B1126="","",COUNTA($B$4:$B1126))</f>
        <v/>
      </c>
      <c r="B1126" s="71" t="n"/>
      <c r="C1126" s="44" t="n"/>
      <c r="D1126" s="45" t="n"/>
      <c r="E1126" s="45" t="n"/>
      <c r="F1126" s="45" t="n"/>
      <c r="G1126" s="45" t="n"/>
      <c r="H1126" s="45" t="n"/>
      <c r="I1126" s="45" t="n"/>
      <c r="J1126" s="38" t="n"/>
    </row>
    <row r="1127">
      <c r="A1127" s="16">
        <f>IF($B1127="","",COUNTA($B$4:$B1127))</f>
        <v/>
      </c>
      <c r="B1127" s="72" t="n"/>
      <c r="C1127" s="46" t="n"/>
      <c r="D1127" s="47" t="n"/>
      <c r="E1127" s="47" t="n"/>
      <c r="F1127" s="47" t="n"/>
      <c r="G1127" s="47" t="n"/>
      <c r="H1127" s="47" t="n"/>
      <c r="I1127" s="47" t="n"/>
      <c r="J1127" s="40" t="n"/>
    </row>
    <row r="1128">
      <c r="A1128" s="16">
        <f>IF($B1128="","",COUNTA($B$4:$B1128))</f>
        <v/>
      </c>
      <c r="B1128" s="71" t="n"/>
      <c r="C1128" s="44" t="n"/>
      <c r="D1128" s="45" t="n"/>
      <c r="E1128" s="45" t="n"/>
      <c r="F1128" s="45" t="n"/>
      <c r="G1128" s="45" t="n"/>
      <c r="H1128" s="45" t="n"/>
      <c r="I1128" s="45" t="n"/>
      <c r="J1128" s="38" t="n"/>
    </row>
    <row r="1129">
      <c r="A1129" s="16">
        <f>IF($B1129="","",COUNTA($B$4:$B1129))</f>
        <v/>
      </c>
      <c r="B1129" s="72" t="n"/>
      <c r="C1129" s="46" t="n"/>
      <c r="D1129" s="47" t="n"/>
      <c r="E1129" s="47" t="n"/>
      <c r="F1129" s="47" t="n"/>
      <c r="G1129" s="47" t="n"/>
      <c r="H1129" s="47" t="n"/>
      <c r="I1129" s="47" t="n"/>
      <c r="J1129" s="40" t="n"/>
    </row>
    <row r="1130">
      <c r="A1130" s="16">
        <f>IF($B1130="","",COUNTA($B$4:$B1130))</f>
        <v/>
      </c>
      <c r="B1130" s="71" t="n"/>
      <c r="C1130" s="44" t="n"/>
      <c r="D1130" s="45" t="n"/>
      <c r="E1130" s="45" t="n"/>
      <c r="F1130" s="45" t="n"/>
      <c r="G1130" s="45" t="n"/>
      <c r="H1130" s="45" t="n"/>
      <c r="I1130" s="45" t="n"/>
      <c r="J1130" s="38" t="n"/>
    </row>
    <row r="1131">
      <c r="A1131" s="16">
        <f>IF($B1131="","",COUNTA($B$4:$B1131))</f>
        <v/>
      </c>
      <c r="B1131" s="72" t="n"/>
      <c r="C1131" s="46" t="n"/>
      <c r="D1131" s="47" t="n"/>
      <c r="E1131" s="47" t="n"/>
      <c r="F1131" s="47" t="n"/>
      <c r="G1131" s="47" t="n"/>
      <c r="H1131" s="47" t="n"/>
      <c r="I1131" s="47" t="n"/>
      <c r="J1131" s="40" t="n"/>
    </row>
    <row r="1132">
      <c r="A1132" s="16">
        <f>IF($B1132="","",COUNTA($B$4:$B1132))</f>
        <v/>
      </c>
      <c r="B1132" s="71" t="n"/>
      <c r="C1132" s="44" t="n"/>
      <c r="D1132" s="45" t="n"/>
      <c r="E1132" s="45" t="n"/>
      <c r="F1132" s="45" t="n"/>
      <c r="G1132" s="45" t="n"/>
      <c r="H1132" s="45" t="n"/>
      <c r="I1132" s="45" t="n"/>
      <c r="J1132" s="38" t="n"/>
    </row>
    <row r="1133">
      <c r="A1133" s="16">
        <f>IF($B1133="","",COUNTA($B$4:$B1133))</f>
        <v/>
      </c>
      <c r="B1133" s="72" t="n"/>
      <c r="C1133" s="46" t="n"/>
      <c r="D1133" s="47" t="n"/>
      <c r="E1133" s="47" t="n"/>
      <c r="F1133" s="47" t="n"/>
      <c r="G1133" s="47" t="n"/>
      <c r="H1133" s="47" t="n"/>
      <c r="I1133" s="47" t="n"/>
      <c r="J1133" s="40" t="n"/>
    </row>
    <row r="1134">
      <c r="A1134" s="16">
        <f>IF($B1134="","",COUNTA($B$4:$B1134))</f>
        <v/>
      </c>
      <c r="B1134" s="71" t="n"/>
      <c r="C1134" s="44" t="n"/>
      <c r="D1134" s="45" t="n"/>
      <c r="E1134" s="45" t="n"/>
      <c r="F1134" s="45" t="n"/>
      <c r="G1134" s="45" t="n"/>
      <c r="H1134" s="45" t="n"/>
      <c r="I1134" s="45" t="n"/>
      <c r="J1134" s="38" t="n"/>
    </row>
    <row r="1135">
      <c r="A1135" s="16">
        <f>IF($B1135="","",COUNTA($B$4:$B1135))</f>
        <v/>
      </c>
      <c r="B1135" s="72" t="n"/>
      <c r="C1135" s="46" t="n"/>
      <c r="D1135" s="47" t="n"/>
      <c r="E1135" s="47" t="n"/>
      <c r="F1135" s="47" t="n"/>
      <c r="G1135" s="47" t="n"/>
      <c r="H1135" s="47" t="n"/>
      <c r="I1135" s="47" t="n"/>
      <c r="J1135" s="40" t="n"/>
    </row>
    <row r="1136">
      <c r="A1136" s="16">
        <f>IF($B1136="","",COUNTA($B$4:$B1136))</f>
        <v/>
      </c>
      <c r="B1136" s="71" t="n"/>
      <c r="C1136" s="44" t="n"/>
      <c r="D1136" s="45" t="n"/>
      <c r="E1136" s="45" t="n"/>
      <c r="F1136" s="45" t="n"/>
      <c r="G1136" s="45" t="n"/>
      <c r="H1136" s="45" t="n"/>
      <c r="I1136" s="45" t="n"/>
      <c r="J1136" s="38" t="n"/>
    </row>
    <row r="1137">
      <c r="A1137" s="16">
        <f>IF($B1137="","",COUNTA($B$4:$B1137))</f>
        <v/>
      </c>
      <c r="B1137" s="72" t="n"/>
      <c r="C1137" s="46" t="n"/>
      <c r="D1137" s="47" t="n"/>
      <c r="E1137" s="47" t="n"/>
      <c r="F1137" s="47" t="n"/>
      <c r="G1137" s="47" t="n"/>
      <c r="H1137" s="47" t="n"/>
      <c r="I1137" s="47" t="n"/>
      <c r="J1137" s="40" t="n"/>
    </row>
    <row r="1138">
      <c r="A1138" s="16">
        <f>IF($B1138="","",COUNTA($B$4:$B1138))</f>
        <v/>
      </c>
      <c r="B1138" s="71" t="n"/>
      <c r="C1138" s="44" t="n"/>
      <c r="D1138" s="45" t="n"/>
      <c r="E1138" s="45" t="n"/>
      <c r="F1138" s="45" t="n"/>
      <c r="G1138" s="45" t="n"/>
      <c r="H1138" s="45" t="n"/>
      <c r="I1138" s="45" t="n"/>
      <c r="J1138" s="38" t="n"/>
    </row>
    <row r="1139">
      <c r="A1139" s="16">
        <f>IF($B1139="","",COUNTA($B$4:$B1139))</f>
        <v/>
      </c>
      <c r="B1139" s="72" t="n"/>
      <c r="C1139" s="46" t="n"/>
      <c r="D1139" s="47" t="n"/>
      <c r="E1139" s="47" t="n"/>
      <c r="F1139" s="47" t="n"/>
      <c r="G1139" s="47" t="n"/>
      <c r="H1139" s="47" t="n"/>
      <c r="I1139" s="47" t="n"/>
      <c r="J1139" s="40" t="n"/>
    </row>
    <row r="1140">
      <c r="A1140" s="16">
        <f>IF($B1140="","",COUNTA($B$4:$B1140))</f>
        <v/>
      </c>
      <c r="B1140" s="71" t="n"/>
      <c r="C1140" s="44" t="n"/>
      <c r="D1140" s="45" t="n"/>
      <c r="E1140" s="45" t="n"/>
      <c r="F1140" s="45" t="n"/>
      <c r="G1140" s="45" t="n"/>
      <c r="H1140" s="45" t="n"/>
      <c r="I1140" s="45" t="n"/>
      <c r="J1140" s="38" t="n"/>
    </row>
    <row r="1141">
      <c r="A1141" s="16">
        <f>IF($B1141="","",COUNTA($B$4:$B1141))</f>
        <v/>
      </c>
      <c r="B1141" s="72" t="n"/>
      <c r="C1141" s="46" t="n"/>
      <c r="D1141" s="47" t="n"/>
      <c r="E1141" s="47" t="n"/>
      <c r="F1141" s="47" t="n"/>
      <c r="G1141" s="47" t="n"/>
      <c r="H1141" s="47" t="n"/>
      <c r="I1141" s="47" t="n"/>
      <c r="J1141" s="40" t="n"/>
    </row>
    <row r="1142">
      <c r="A1142" s="16">
        <f>IF($B1142="","",COUNTA($B$4:$B1142))</f>
        <v/>
      </c>
      <c r="B1142" s="71" t="n"/>
      <c r="C1142" s="44" t="n"/>
      <c r="D1142" s="45" t="n"/>
      <c r="E1142" s="45" t="n"/>
      <c r="F1142" s="45" t="n"/>
      <c r="G1142" s="45" t="n"/>
      <c r="H1142" s="45" t="n"/>
      <c r="I1142" s="45" t="n"/>
      <c r="J1142" s="38" t="n"/>
    </row>
    <row r="1143">
      <c r="A1143" s="16">
        <f>IF($B1143="","",COUNTA($B$4:$B1143))</f>
        <v/>
      </c>
      <c r="B1143" s="72" t="n"/>
      <c r="C1143" s="46" t="n"/>
      <c r="D1143" s="47" t="n"/>
      <c r="E1143" s="47" t="n"/>
      <c r="F1143" s="47" t="n"/>
      <c r="G1143" s="47" t="n"/>
      <c r="H1143" s="47" t="n"/>
      <c r="I1143" s="47" t="n"/>
      <c r="J1143" s="40" t="n"/>
    </row>
    <row r="1144">
      <c r="A1144" s="16">
        <f>IF($B1144="","",COUNTA($B$4:$B1144))</f>
        <v/>
      </c>
      <c r="B1144" s="71" t="n"/>
      <c r="C1144" s="44" t="n"/>
      <c r="D1144" s="45" t="n"/>
      <c r="E1144" s="45" t="n"/>
      <c r="F1144" s="45" t="n"/>
      <c r="G1144" s="45" t="n"/>
      <c r="H1144" s="45" t="n"/>
      <c r="I1144" s="45" t="n"/>
      <c r="J1144" s="38" t="n"/>
    </row>
    <row r="1145">
      <c r="A1145" s="16">
        <f>IF($B1145="","",COUNTA($B$4:$B1145))</f>
        <v/>
      </c>
      <c r="B1145" s="72" t="n"/>
      <c r="C1145" s="46" t="n"/>
      <c r="D1145" s="47" t="n"/>
      <c r="E1145" s="47" t="n"/>
      <c r="F1145" s="47" t="n"/>
      <c r="G1145" s="47" t="n"/>
      <c r="H1145" s="47" t="n"/>
      <c r="I1145" s="47" t="n"/>
      <c r="J1145" s="40" t="n"/>
    </row>
    <row r="1146">
      <c r="A1146" s="16">
        <f>IF($B1146="","",COUNTA($B$4:$B1146))</f>
        <v/>
      </c>
      <c r="B1146" s="71" t="n"/>
      <c r="C1146" s="44" t="n"/>
      <c r="D1146" s="45" t="n"/>
      <c r="E1146" s="45" t="n"/>
      <c r="F1146" s="45" t="n"/>
      <c r="G1146" s="45" t="n"/>
      <c r="H1146" s="45" t="n"/>
      <c r="I1146" s="45" t="n"/>
      <c r="J1146" s="38" t="n"/>
    </row>
    <row r="1147">
      <c r="A1147" s="16">
        <f>IF($B1147="","",COUNTA($B$4:$B1147))</f>
        <v/>
      </c>
      <c r="B1147" s="72" t="n"/>
      <c r="C1147" s="46" t="n"/>
      <c r="D1147" s="47" t="n"/>
      <c r="E1147" s="47" t="n"/>
      <c r="F1147" s="47" t="n"/>
      <c r="G1147" s="47" t="n"/>
      <c r="H1147" s="47" t="n"/>
      <c r="I1147" s="47" t="n"/>
      <c r="J1147" s="40" t="n"/>
    </row>
    <row r="1148">
      <c r="A1148" s="16">
        <f>IF($B1148="","",COUNTA($B$4:$B1148))</f>
        <v/>
      </c>
      <c r="B1148" s="71" t="n"/>
      <c r="C1148" s="44" t="n"/>
      <c r="D1148" s="45" t="n"/>
      <c r="E1148" s="45" t="n"/>
      <c r="F1148" s="45" t="n"/>
      <c r="G1148" s="45" t="n"/>
      <c r="H1148" s="45" t="n"/>
      <c r="I1148" s="45" t="n"/>
      <c r="J1148" s="38" t="n"/>
    </row>
    <row r="1149">
      <c r="A1149" s="16">
        <f>IF($B1149="","",COUNTA($B$4:$B1149))</f>
        <v/>
      </c>
      <c r="B1149" s="72" t="n"/>
      <c r="C1149" s="46" t="n"/>
      <c r="D1149" s="47" t="n"/>
      <c r="E1149" s="47" t="n"/>
      <c r="F1149" s="47" t="n"/>
      <c r="G1149" s="47" t="n"/>
      <c r="H1149" s="47" t="n"/>
      <c r="I1149" s="47" t="n"/>
      <c r="J1149" s="40" t="n"/>
    </row>
    <row r="1150">
      <c r="A1150" s="16">
        <f>IF($B1150="","",COUNTA($B$4:$B1150))</f>
        <v/>
      </c>
      <c r="B1150" s="71" t="n"/>
      <c r="C1150" s="44" t="n"/>
      <c r="D1150" s="45" t="n"/>
      <c r="E1150" s="45" t="n"/>
      <c r="F1150" s="45" t="n"/>
      <c r="G1150" s="45" t="n"/>
      <c r="H1150" s="45" t="n"/>
      <c r="I1150" s="45" t="n"/>
      <c r="J1150" s="38" t="n"/>
    </row>
    <row r="1151">
      <c r="A1151" s="16">
        <f>IF($B1151="","",COUNTA($B$4:$B1151))</f>
        <v/>
      </c>
      <c r="B1151" s="72" t="n"/>
      <c r="C1151" s="46" t="n"/>
      <c r="D1151" s="47" t="n"/>
      <c r="E1151" s="47" t="n"/>
      <c r="F1151" s="47" t="n"/>
      <c r="G1151" s="47" t="n"/>
      <c r="H1151" s="47" t="n"/>
      <c r="I1151" s="47" t="n"/>
      <c r="J1151" s="40" t="n"/>
    </row>
    <row r="1152">
      <c r="A1152" s="16">
        <f>IF($B1152="","",COUNTA($B$4:$B1152))</f>
        <v/>
      </c>
      <c r="B1152" s="71" t="n"/>
      <c r="C1152" s="44" t="n"/>
      <c r="D1152" s="45" t="n"/>
      <c r="E1152" s="45" t="n"/>
      <c r="F1152" s="45" t="n"/>
      <c r="G1152" s="45" t="n"/>
      <c r="H1152" s="45" t="n"/>
      <c r="I1152" s="45" t="n"/>
      <c r="J1152" s="38" t="n"/>
    </row>
    <row r="1153">
      <c r="A1153" s="16">
        <f>IF($B1153="","",COUNTA($B$4:$B1153))</f>
        <v/>
      </c>
      <c r="B1153" s="72" t="n"/>
      <c r="C1153" s="46" t="n"/>
      <c r="D1153" s="47" t="n"/>
      <c r="E1153" s="47" t="n"/>
      <c r="F1153" s="47" t="n"/>
      <c r="G1153" s="47" t="n"/>
      <c r="H1153" s="47" t="n"/>
      <c r="I1153" s="47" t="n"/>
      <c r="J1153" s="40" t="n"/>
    </row>
    <row r="1154">
      <c r="A1154" s="16">
        <f>IF($B1154="","",COUNTA($B$4:$B1154))</f>
        <v/>
      </c>
      <c r="B1154" s="71" t="n"/>
      <c r="C1154" s="44" t="n"/>
      <c r="D1154" s="45" t="n"/>
      <c r="E1154" s="45" t="n"/>
      <c r="F1154" s="45" t="n"/>
      <c r="G1154" s="45" t="n"/>
      <c r="H1154" s="45" t="n"/>
      <c r="I1154" s="45" t="n"/>
      <c r="J1154" s="38" t="n"/>
    </row>
    <row r="1155">
      <c r="A1155" s="16">
        <f>IF($B1155="","",COUNTA($B$4:$B1155))</f>
        <v/>
      </c>
      <c r="B1155" s="72" t="n"/>
      <c r="C1155" s="46" t="n"/>
      <c r="D1155" s="47" t="n"/>
      <c r="E1155" s="47" t="n"/>
      <c r="F1155" s="47" t="n"/>
      <c r="G1155" s="47" t="n"/>
      <c r="H1155" s="47" t="n"/>
      <c r="I1155" s="47" t="n"/>
      <c r="J1155" s="40" t="n"/>
    </row>
    <row r="1156">
      <c r="A1156" s="16">
        <f>IF($B1156="","",COUNTA($B$4:$B1156))</f>
        <v/>
      </c>
      <c r="B1156" s="71" t="n"/>
      <c r="C1156" s="44" t="n"/>
      <c r="D1156" s="45" t="n"/>
      <c r="E1156" s="45" t="n"/>
      <c r="F1156" s="45" t="n"/>
      <c r="G1156" s="45" t="n"/>
      <c r="H1156" s="45" t="n"/>
      <c r="I1156" s="45" t="n"/>
      <c r="J1156" s="38" t="n"/>
    </row>
    <row r="1157">
      <c r="A1157" s="16">
        <f>IF($B1157="","",COUNTA($B$4:$B1157))</f>
        <v/>
      </c>
      <c r="B1157" s="72" t="n"/>
      <c r="C1157" s="46" t="n"/>
      <c r="D1157" s="47" t="n"/>
      <c r="E1157" s="47" t="n"/>
      <c r="F1157" s="47" t="n"/>
      <c r="G1157" s="47" t="n"/>
      <c r="H1157" s="47" t="n"/>
      <c r="I1157" s="47" t="n"/>
      <c r="J1157" s="40" t="n"/>
    </row>
    <row r="1158">
      <c r="A1158" s="16">
        <f>IF($B1158="","",COUNTA($B$4:$B1158))</f>
        <v/>
      </c>
      <c r="B1158" s="71" t="n"/>
      <c r="C1158" s="44" t="n"/>
      <c r="D1158" s="45" t="n"/>
      <c r="E1158" s="45" t="n"/>
      <c r="F1158" s="45" t="n"/>
      <c r="G1158" s="45" t="n"/>
      <c r="H1158" s="45" t="n"/>
      <c r="I1158" s="45" t="n"/>
      <c r="J1158" s="38" t="n"/>
    </row>
    <row r="1159">
      <c r="A1159" s="16">
        <f>IF($B1159="","",COUNTA($B$4:$B1159))</f>
        <v/>
      </c>
      <c r="B1159" s="72" t="n"/>
      <c r="C1159" s="46" t="n"/>
      <c r="D1159" s="47" t="n"/>
      <c r="E1159" s="47" t="n"/>
      <c r="F1159" s="47" t="n"/>
      <c r="G1159" s="47" t="n"/>
      <c r="H1159" s="47" t="n"/>
      <c r="I1159" s="47" t="n"/>
      <c r="J1159" s="40" t="n"/>
    </row>
    <row r="1160">
      <c r="A1160" s="16">
        <f>IF($B1160="","",COUNTA($B$4:$B1160))</f>
        <v/>
      </c>
      <c r="B1160" s="71" t="n"/>
      <c r="C1160" s="44" t="n"/>
      <c r="D1160" s="45" t="n"/>
      <c r="E1160" s="45" t="n"/>
      <c r="F1160" s="45" t="n"/>
      <c r="G1160" s="45" t="n"/>
      <c r="H1160" s="45" t="n"/>
      <c r="I1160" s="45" t="n"/>
      <c r="J1160" s="38" t="n"/>
    </row>
    <row r="1161">
      <c r="A1161" s="16">
        <f>IF($B1161="","",COUNTA($B$4:$B1161))</f>
        <v/>
      </c>
      <c r="B1161" s="72" t="n"/>
      <c r="C1161" s="46" t="n"/>
      <c r="D1161" s="47" t="n"/>
      <c r="E1161" s="47" t="n"/>
      <c r="F1161" s="47" t="n"/>
      <c r="G1161" s="47" t="n"/>
      <c r="H1161" s="47" t="n"/>
      <c r="I1161" s="47" t="n"/>
      <c r="J1161" s="40" t="n"/>
    </row>
    <row r="1162">
      <c r="A1162" s="16">
        <f>IF($B1162="","",COUNTA($B$4:$B1162))</f>
        <v/>
      </c>
      <c r="B1162" s="71" t="n"/>
      <c r="C1162" s="44" t="n"/>
      <c r="D1162" s="45" t="n"/>
      <c r="E1162" s="45" t="n"/>
      <c r="F1162" s="45" t="n"/>
      <c r="G1162" s="45" t="n"/>
      <c r="H1162" s="45" t="n"/>
      <c r="I1162" s="45" t="n"/>
      <c r="J1162" s="38" t="n"/>
    </row>
    <row r="1163">
      <c r="A1163" s="16">
        <f>IF($B1163="","",COUNTA($B$4:$B1163))</f>
        <v/>
      </c>
      <c r="B1163" s="72" t="n"/>
      <c r="C1163" s="46" t="n"/>
      <c r="D1163" s="47" t="n"/>
      <c r="E1163" s="47" t="n"/>
      <c r="F1163" s="47" t="n"/>
      <c r="G1163" s="47" t="n"/>
      <c r="H1163" s="47" t="n"/>
      <c r="I1163" s="47" t="n"/>
      <c r="J1163" s="40" t="n"/>
    </row>
    <row r="1164">
      <c r="A1164" s="16">
        <f>IF($B1164="","",COUNTA($B$4:$B1164))</f>
        <v/>
      </c>
      <c r="B1164" s="71" t="n"/>
      <c r="C1164" s="44" t="n"/>
      <c r="D1164" s="45" t="n"/>
      <c r="E1164" s="45" t="n"/>
      <c r="F1164" s="45" t="n"/>
      <c r="G1164" s="45" t="n"/>
      <c r="H1164" s="45" t="n"/>
      <c r="I1164" s="45" t="n"/>
      <c r="J1164" s="38" t="n"/>
    </row>
    <row r="1165">
      <c r="A1165" s="16">
        <f>IF($B1165="","",COUNTA($B$4:$B1165))</f>
        <v/>
      </c>
      <c r="B1165" s="72" t="n"/>
      <c r="C1165" s="46" t="n"/>
      <c r="D1165" s="47" t="n"/>
      <c r="E1165" s="47" t="n"/>
      <c r="F1165" s="47" t="n"/>
      <c r="G1165" s="47" t="n"/>
      <c r="H1165" s="47" t="n"/>
      <c r="I1165" s="47" t="n"/>
      <c r="J1165" s="40" t="n"/>
    </row>
    <row r="1166">
      <c r="A1166" s="16">
        <f>IF($B1166="","",COUNTA($B$4:$B1166))</f>
        <v/>
      </c>
      <c r="B1166" s="71" t="n"/>
      <c r="C1166" s="44" t="n"/>
      <c r="D1166" s="45" t="n"/>
      <c r="E1166" s="45" t="n"/>
      <c r="F1166" s="45" t="n"/>
      <c r="G1166" s="45" t="n"/>
      <c r="H1166" s="45" t="n"/>
      <c r="I1166" s="45" t="n"/>
      <c r="J1166" s="38" t="n"/>
    </row>
    <row r="1167">
      <c r="A1167" s="16">
        <f>IF($B1167="","",COUNTA($B$4:$B1167))</f>
        <v/>
      </c>
      <c r="B1167" s="72" t="n"/>
      <c r="C1167" s="46" t="n"/>
      <c r="D1167" s="47" t="n"/>
      <c r="E1167" s="47" t="n"/>
      <c r="F1167" s="47" t="n"/>
      <c r="G1167" s="47" t="n"/>
      <c r="H1167" s="47" t="n"/>
      <c r="I1167" s="47" t="n"/>
      <c r="J1167" s="40" t="n"/>
    </row>
    <row r="1168">
      <c r="A1168" s="16">
        <f>IF($B1168="","",COUNTA($B$4:$B1168))</f>
        <v/>
      </c>
      <c r="B1168" s="71" t="n"/>
      <c r="C1168" s="44" t="n"/>
      <c r="D1168" s="45" t="n"/>
      <c r="E1168" s="45" t="n"/>
      <c r="F1168" s="45" t="n"/>
      <c r="G1168" s="45" t="n"/>
      <c r="H1168" s="45" t="n"/>
      <c r="I1168" s="45" t="n"/>
      <c r="J1168" s="38" t="n"/>
    </row>
    <row r="1169">
      <c r="A1169" s="16">
        <f>IF($B1169="","",COUNTA($B$4:$B1169))</f>
        <v/>
      </c>
      <c r="B1169" s="72" t="n"/>
      <c r="C1169" s="46" t="n"/>
      <c r="D1169" s="47" t="n"/>
      <c r="E1169" s="47" t="n"/>
      <c r="F1169" s="47" t="n"/>
      <c r="G1169" s="47" t="n"/>
      <c r="H1169" s="47" t="n"/>
      <c r="I1169" s="47" t="n"/>
      <c r="J1169" s="40" t="n"/>
    </row>
    <row r="1170">
      <c r="A1170" s="16">
        <f>IF($B1170="","",COUNTA($B$4:$B1170))</f>
        <v/>
      </c>
      <c r="B1170" s="71" t="n"/>
      <c r="C1170" s="44" t="n"/>
      <c r="D1170" s="45" t="n"/>
      <c r="E1170" s="45" t="n"/>
      <c r="F1170" s="45" t="n"/>
      <c r="G1170" s="45" t="n"/>
      <c r="H1170" s="45" t="n"/>
      <c r="I1170" s="45" t="n"/>
      <c r="J1170" s="38" t="n"/>
    </row>
    <row r="1171">
      <c r="A1171" s="16">
        <f>IF($B1171="","",COUNTA($B$4:$B1171))</f>
        <v/>
      </c>
      <c r="B1171" s="72" t="n"/>
      <c r="C1171" s="46" t="n"/>
      <c r="D1171" s="47" t="n"/>
      <c r="E1171" s="47" t="n"/>
      <c r="F1171" s="47" t="n"/>
      <c r="G1171" s="47" t="n"/>
      <c r="H1171" s="47" t="n"/>
      <c r="I1171" s="47" t="n"/>
      <c r="J1171" s="40" t="n"/>
    </row>
    <row r="1172">
      <c r="A1172" s="16">
        <f>IF($B1172="","",COUNTA($B$4:$B1172))</f>
        <v/>
      </c>
      <c r="B1172" s="71" t="n"/>
      <c r="C1172" s="44" t="n"/>
      <c r="D1172" s="45" t="n"/>
      <c r="E1172" s="45" t="n"/>
      <c r="F1172" s="45" t="n"/>
      <c r="G1172" s="45" t="n"/>
      <c r="H1172" s="45" t="n"/>
      <c r="I1172" s="45" t="n"/>
      <c r="J1172" s="38" t="n"/>
    </row>
    <row r="1173">
      <c r="A1173" s="16">
        <f>IF($B1173="","",COUNTA($B$4:$B1173))</f>
        <v/>
      </c>
      <c r="B1173" s="72" t="n"/>
      <c r="C1173" s="46" t="n"/>
      <c r="D1173" s="47" t="n"/>
      <c r="E1173" s="47" t="n"/>
      <c r="F1173" s="47" t="n"/>
      <c r="G1173" s="47" t="n"/>
      <c r="H1173" s="47" t="n"/>
      <c r="I1173" s="47" t="n"/>
      <c r="J1173" s="40" t="n"/>
    </row>
    <row r="1174">
      <c r="A1174" s="16">
        <f>IF($B1174="","",COUNTA($B$4:$B1174))</f>
        <v/>
      </c>
      <c r="B1174" s="71" t="n"/>
      <c r="C1174" s="44" t="n"/>
      <c r="D1174" s="45" t="n"/>
      <c r="E1174" s="45" t="n"/>
      <c r="F1174" s="45" t="n"/>
      <c r="G1174" s="45" t="n"/>
      <c r="H1174" s="45" t="n"/>
      <c r="I1174" s="45" t="n"/>
      <c r="J1174" s="38" t="n"/>
    </row>
    <row r="1175">
      <c r="A1175" s="16">
        <f>IF($B1175="","",COUNTA($B$4:$B1175))</f>
        <v/>
      </c>
      <c r="B1175" s="72" t="n"/>
      <c r="C1175" s="46" t="n"/>
      <c r="D1175" s="47" t="n"/>
      <c r="E1175" s="47" t="n"/>
      <c r="F1175" s="47" t="n"/>
      <c r="G1175" s="47" t="n"/>
      <c r="H1175" s="47" t="n"/>
      <c r="I1175" s="47" t="n"/>
      <c r="J1175" s="40" t="n"/>
    </row>
    <row r="1176">
      <c r="A1176" s="16">
        <f>IF($B1176="","",COUNTA($B$4:$B1176))</f>
        <v/>
      </c>
      <c r="B1176" s="71" t="n"/>
      <c r="C1176" s="44" t="n"/>
      <c r="D1176" s="45" t="n"/>
      <c r="E1176" s="45" t="n"/>
      <c r="F1176" s="45" t="n"/>
      <c r="G1176" s="45" t="n"/>
      <c r="H1176" s="45" t="n"/>
      <c r="I1176" s="45" t="n"/>
      <c r="J1176" s="38" t="n"/>
    </row>
    <row r="1177">
      <c r="A1177" s="16">
        <f>IF($B1177="","",COUNTA($B$4:$B1177))</f>
        <v/>
      </c>
      <c r="B1177" s="72" t="n"/>
      <c r="C1177" s="46" t="n"/>
      <c r="D1177" s="47" t="n"/>
      <c r="E1177" s="47" t="n"/>
      <c r="F1177" s="47" t="n"/>
      <c r="G1177" s="47" t="n"/>
      <c r="H1177" s="47" t="n"/>
      <c r="I1177" s="47" t="n"/>
      <c r="J1177" s="40" t="n"/>
    </row>
    <row r="1178">
      <c r="A1178" s="16">
        <f>IF($B1178="","",COUNTA($B$4:$B1178))</f>
        <v/>
      </c>
      <c r="B1178" s="71" t="n"/>
      <c r="C1178" s="44" t="n"/>
      <c r="D1178" s="45" t="n"/>
      <c r="E1178" s="45" t="n"/>
      <c r="F1178" s="45" t="n"/>
      <c r="G1178" s="45" t="n"/>
      <c r="H1178" s="45" t="n"/>
      <c r="I1178" s="45" t="n"/>
      <c r="J1178" s="38" t="n"/>
    </row>
    <row r="1179">
      <c r="A1179" s="16">
        <f>IF($B1179="","",COUNTA($B$4:$B1179))</f>
        <v/>
      </c>
      <c r="B1179" s="72" t="n"/>
      <c r="C1179" s="46" t="n"/>
      <c r="D1179" s="47" t="n"/>
      <c r="E1179" s="47" t="n"/>
      <c r="F1179" s="47" t="n"/>
      <c r="G1179" s="47" t="n"/>
      <c r="H1179" s="47" t="n"/>
      <c r="I1179" s="47" t="n"/>
      <c r="J1179" s="40" t="n"/>
    </row>
    <row r="1180">
      <c r="A1180" s="16">
        <f>IF($B1180="","",COUNTA($B$4:$B1180))</f>
        <v/>
      </c>
      <c r="B1180" s="71" t="n"/>
      <c r="C1180" s="44" t="n"/>
      <c r="D1180" s="45" t="n"/>
      <c r="E1180" s="45" t="n"/>
      <c r="F1180" s="45" t="n"/>
      <c r="G1180" s="45" t="n"/>
      <c r="H1180" s="45" t="n"/>
      <c r="I1180" s="45" t="n"/>
      <c r="J1180" s="38" t="n"/>
    </row>
    <row r="1181">
      <c r="A1181" s="16">
        <f>IF($B1181="","",COUNTA($B$4:$B1181))</f>
        <v/>
      </c>
      <c r="B1181" s="72" t="n"/>
      <c r="C1181" s="46" t="n"/>
      <c r="D1181" s="47" t="n"/>
      <c r="E1181" s="47" t="n"/>
      <c r="F1181" s="47" t="n"/>
      <c r="G1181" s="47" t="n"/>
      <c r="H1181" s="47" t="n"/>
      <c r="I1181" s="47" t="n"/>
      <c r="J1181" s="40" t="n"/>
    </row>
    <row r="1182">
      <c r="A1182" s="16">
        <f>IF($B1182="","",COUNTA($B$4:$B1182))</f>
        <v/>
      </c>
      <c r="B1182" s="71" t="n"/>
      <c r="C1182" s="44" t="n"/>
      <c r="D1182" s="45" t="n"/>
      <c r="E1182" s="45" t="n"/>
      <c r="F1182" s="45" t="n"/>
      <c r="G1182" s="45" t="n"/>
      <c r="H1182" s="45" t="n"/>
      <c r="I1182" s="45" t="n"/>
      <c r="J1182" s="38" t="n"/>
    </row>
    <row r="1183">
      <c r="A1183" s="16">
        <f>IF($B1183="","",COUNTA($B$4:$B1183))</f>
        <v/>
      </c>
      <c r="B1183" s="72" t="n"/>
      <c r="C1183" s="46" t="n"/>
      <c r="D1183" s="47" t="n"/>
      <c r="E1183" s="47" t="n"/>
      <c r="F1183" s="47" t="n"/>
      <c r="G1183" s="47" t="n"/>
      <c r="H1183" s="47" t="n"/>
      <c r="I1183" s="47" t="n"/>
      <c r="J1183" s="40" t="n"/>
    </row>
    <row r="1184">
      <c r="A1184" s="16">
        <f>IF($B1184="","",COUNTA($B$4:$B1184))</f>
        <v/>
      </c>
      <c r="B1184" s="71" t="n"/>
      <c r="C1184" s="44" t="n"/>
      <c r="D1184" s="45" t="n"/>
      <c r="E1184" s="45" t="n"/>
      <c r="F1184" s="45" t="n"/>
      <c r="G1184" s="45" t="n"/>
      <c r="H1184" s="45" t="n"/>
      <c r="I1184" s="45" t="n"/>
      <c r="J1184" s="38" t="n"/>
    </row>
    <row r="1185">
      <c r="A1185" s="16">
        <f>IF($B1185="","",COUNTA($B$4:$B1185))</f>
        <v/>
      </c>
      <c r="B1185" s="72" t="n"/>
      <c r="C1185" s="46" t="n"/>
      <c r="D1185" s="47" t="n"/>
      <c r="E1185" s="47" t="n"/>
      <c r="F1185" s="47" t="n"/>
      <c r="G1185" s="47" t="n"/>
      <c r="H1185" s="47" t="n"/>
      <c r="I1185" s="47" t="n"/>
      <c r="J1185" s="40" t="n"/>
    </row>
    <row r="1186">
      <c r="A1186" s="16">
        <f>IF($B1186="","",COUNTA($B$4:$B1186))</f>
        <v/>
      </c>
      <c r="B1186" s="71" t="n"/>
      <c r="C1186" s="44" t="n"/>
      <c r="D1186" s="45" t="n"/>
      <c r="E1186" s="45" t="n"/>
      <c r="F1186" s="45" t="n"/>
      <c r="G1186" s="45" t="n"/>
      <c r="H1186" s="45" t="n"/>
      <c r="I1186" s="45" t="n"/>
      <c r="J1186" s="38" t="n"/>
    </row>
    <row r="1187">
      <c r="A1187" s="16">
        <f>IF($B1187="","",COUNTA($B$4:$B1187))</f>
        <v/>
      </c>
      <c r="B1187" s="72" t="n"/>
      <c r="C1187" s="46" t="n"/>
      <c r="D1187" s="47" t="n"/>
      <c r="E1187" s="47" t="n"/>
      <c r="F1187" s="47" t="n"/>
      <c r="G1187" s="47" t="n"/>
      <c r="H1187" s="47" t="n"/>
      <c r="I1187" s="47" t="n"/>
      <c r="J1187" s="40" t="n"/>
    </row>
    <row r="1188">
      <c r="A1188" s="16">
        <f>IF($B1188="","",COUNTA($B$4:$B1188))</f>
        <v/>
      </c>
      <c r="B1188" s="71" t="n"/>
      <c r="C1188" s="44" t="n"/>
      <c r="D1188" s="45" t="n"/>
      <c r="E1188" s="45" t="n"/>
      <c r="F1188" s="45" t="n"/>
      <c r="G1188" s="45" t="n"/>
      <c r="H1188" s="45" t="n"/>
      <c r="I1188" s="45" t="n"/>
      <c r="J1188" s="38" t="n"/>
    </row>
    <row r="1189">
      <c r="A1189" s="16">
        <f>IF($B1189="","",COUNTA($B$4:$B1189))</f>
        <v/>
      </c>
      <c r="B1189" s="72" t="n"/>
      <c r="C1189" s="46" t="n"/>
      <c r="D1189" s="47" t="n"/>
      <c r="E1189" s="47" t="n"/>
      <c r="F1189" s="47" t="n"/>
      <c r="G1189" s="47" t="n"/>
      <c r="H1189" s="47" t="n"/>
      <c r="I1189" s="47" t="n"/>
      <c r="J1189" s="40" t="n"/>
    </row>
    <row r="1190">
      <c r="A1190" s="16">
        <f>IF($B1190="","",COUNTA($B$4:$B1190))</f>
        <v/>
      </c>
      <c r="B1190" s="71" t="n"/>
      <c r="C1190" s="44" t="n"/>
      <c r="D1190" s="45" t="n"/>
      <c r="E1190" s="45" t="n"/>
      <c r="F1190" s="45" t="n"/>
      <c r="G1190" s="45" t="n"/>
      <c r="H1190" s="45" t="n"/>
      <c r="I1190" s="45" t="n"/>
      <c r="J1190" s="38" t="n"/>
    </row>
    <row r="1191">
      <c r="A1191" s="16">
        <f>IF($B1191="","",COUNTA($B$4:$B1191))</f>
        <v/>
      </c>
      <c r="B1191" s="72" t="n"/>
      <c r="C1191" s="46" t="n"/>
      <c r="D1191" s="47" t="n"/>
      <c r="E1191" s="47" t="n"/>
      <c r="F1191" s="47" t="n"/>
      <c r="G1191" s="47" t="n"/>
      <c r="H1191" s="47" t="n"/>
      <c r="I1191" s="47" t="n"/>
      <c r="J1191" s="40" t="n"/>
    </row>
    <row r="1192">
      <c r="A1192" s="16">
        <f>IF($B1192="","",COUNTA($B$4:$B1192))</f>
        <v/>
      </c>
      <c r="B1192" s="71" t="n"/>
      <c r="C1192" s="44" t="n"/>
      <c r="D1192" s="45" t="n"/>
      <c r="E1192" s="45" t="n"/>
      <c r="F1192" s="45" t="n"/>
      <c r="G1192" s="45" t="n"/>
      <c r="H1192" s="45" t="n"/>
      <c r="I1192" s="45" t="n"/>
      <c r="J1192" s="38" t="n"/>
    </row>
    <row r="1193">
      <c r="A1193" s="16">
        <f>IF($B1193="","",COUNTA($B$4:$B1193))</f>
        <v/>
      </c>
      <c r="B1193" s="72" t="n"/>
      <c r="C1193" s="46" t="n"/>
      <c r="D1193" s="47" t="n"/>
      <c r="E1193" s="47" t="n"/>
      <c r="F1193" s="47" t="n"/>
      <c r="G1193" s="47" t="n"/>
      <c r="H1193" s="47" t="n"/>
      <c r="I1193" s="47" t="n"/>
      <c r="J1193" s="40" t="n"/>
    </row>
    <row r="1194">
      <c r="A1194" s="16">
        <f>IF($B1194="","",COUNTA($B$4:$B1194))</f>
        <v/>
      </c>
      <c r="B1194" s="71" t="n"/>
      <c r="C1194" s="44" t="n"/>
      <c r="D1194" s="45" t="n"/>
      <c r="E1194" s="45" t="n"/>
      <c r="F1194" s="45" t="n"/>
      <c r="G1194" s="45" t="n"/>
      <c r="H1194" s="45" t="n"/>
      <c r="I1194" s="45" t="n"/>
      <c r="J1194" s="38" t="n"/>
    </row>
    <row r="1195">
      <c r="A1195" s="16">
        <f>IF($B1195="","",COUNTA($B$4:$B1195))</f>
        <v/>
      </c>
      <c r="B1195" s="72" t="n"/>
      <c r="C1195" s="46" t="n"/>
      <c r="D1195" s="47" t="n"/>
      <c r="E1195" s="47" t="n"/>
      <c r="F1195" s="47" t="n"/>
      <c r="G1195" s="47" t="n"/>
      <c r="H1195" s="47" t="n"/>
      <c r="I1195" s="47" t="n"/>
      <c r="J1195" s="40" t="n"/>
    </row>
    <row r="1196">
      <c r="A1196" s="16">
        <f>IF($B1196="","",COUNTA($B$4:$B1196))</f>
        <v/>
      </c>
      <c r="B1196" s="71" t="n"/>
      <c r="C1196" s="44" t="n"/>
      <c r="D1196" s="45" t="n"/>
      <c r="E1196" s="45" t="n"/>
      <c r="F1196" s="45" t="n"/>
      <c r="G1196" s="45" t="n"/>
      <c r="H1196" s="45" t="n"/>
      <c r="I1196" s="45" t="n"/>
      <c r="J1196" s="38" t="n"/>
    </row>
    <row r="1197">
      <c r="A1197" s="16">
        <f>IF($B1197="","",COUNTA($B$4:$B1197))</f>
        <v/>
      </c>
      <c r="B1197" s="72" t="n"/>
      <c r="C1197" s="46" t="n"/>
      <c r="D1197" s="47" t="n"/>
      <c r="E1197" s="47" t="n"/>
      <c r="F1197" s="47" t="n"/>
      <c r="G1197" s="47" t="n"/>
      <c r="H1197" s="47" t="n"/>
      <c r="I1197" s="47" t="n"/>
      <c r="J1197" s="40" t="n"/>
    </row>
    <row r="1198">
      <c r="A1198" s="16">
        <f>IF($B1198="","",COUNTA($B$4:$B1198))</f>
        <v/>
      </c>
      <c r="B1198" s="71" t="n"/>
      <c r="C1198" s="44" t="n"/>
      <c r="D1198" s="45" t="n"/>
      <c r="E1198" s="45" t="n"/>
      <c r="F1198" s="45" t="n"/>
      <c r="G1198" s="45" t="n"/>
      <c r="H1198" s="45" t="n"/>
      <c r="I1198" s="45" t="n"/>
      <c r="J1198" s="38" t="n"/>
    </row>
    <row r="1199">
      <c r="A1199" s="16">
        <f>IF($B1199="","",COUNTA($B$4:$B1199))</f>
        <v/>
      </c>
      <c r="B1199" s="72" t="n"/>
      <c r="C1199" s="46" t="n"/>
      <c r="D1199" s="47" t="n"/>
      <c r="E1199" s="47" t="n"/>
      <c r="F1199" s="47" t="n"/>
      <c r="G1199" s="47" t="n"/>
      <c r="H1199" s="47" t="n"/>
      <c r="I1199" s="47" t="n"/>
      <c r="J1199" s="40" t="n"/>
    </row>
    <row r="1200">
      <c r="A1200" s="16">
        <f>IF($B1200="","",COUNTA($B$4:$B1200))</f>
        <v/>
      </c>
      <c r="B1200" s="71" t="n"/>
      <c r="C1200" s="44" t="n"/>
      <c r="D1200" s="45" t="n"/>
      <c r="E1200" s="45" t="n"/>
      <c r="F1200" s="45" t="n"/>
      <c r="G1200" s="45" t="n"/>
      <c r="H1200" s="45" t="n"/>
      <c r="I1200" s="45" t="n"/>
      <c r="J1200" s="38" t="n"/>
    </row>
    <row r="1201">
      <c r="A1201" s="16">
        <f>IF($B1201="","",COUNTA($B$4:$B1201))</f>
        <v/>
      </c>
      <c r="B1201" s="72" t="n"/>
      <c r="C1201" s="46" t="n"/>
      <c r="D1201" s="47" t="n"/>
      <c r="E1201" s="47" t="n"/>
      <c r="F1201" s="47" t="n"/>
      <c r="G1201" s="47" t="n"/>
      <c r="H1201" s="47" t="n"/>
      <c r="I1201" s="47" t="n"/>
      <c r="J1201" s="40" t="n"/>
    </row>
    <row r="1202">
      <c r="A1202" s="16">
        <f>IF($B1202="","",COUNTA($B$4:$B1202))</f>
        <v/>
      </c>
      <c r="B1202" s="71" t="n"/>
      <c r="C1202" s="44" t="n"/>
      <c r="D1202" s="45" t="n"/>
      <c r="E1202" s="45" t="n"/>
      <c r="F1202" s="45" t="n"/>
      <c r="G1202" s="45" t="n"/>
      <c r="H1202" s="45" t="n"/>
      <c r="I1202" s="45" t="n"/>
      <c r="J1202" s="38" t="n"/>
    </row>
    <row r="1203">
      <c r="A1203" s="16">
        <f>IF($B1203="","",COUNTA($B$4:$B1203))</f>
        <v/>
      </c>
      <c r="B1203" s="72" t="n"/>
      <c r="C1203" s="46" t="n"/>
      <c r="D1203" s="47" t="n"/>
      <c r="E1203" s="47" t="n"/>
      <c r="F1203" s="47" t="n"/>
      <c r="G1203" s="47" t="n"/>
      <c r="H1203" s="47" t="n"/>
      <c r="I1203" s="47" t="n"/>
      <c r="J1203" s="40" t="n"/>
    </row>
    <row r="1204">
      <c r="A1204" s="16">
        <f>IF($B1204="","",COUNTA($B$4:$B1204))</f>
        <v/>
      </c>
      <c r="B1204" s="71" t="n"/>
      <c r="C1204" s="44" t="n"/>
      <c r="D1204" s="45" t="n"/>
      <c r="E1204" s="45" t="n"/>
      <c r="F1204" s="45" t="n"/>
      <c r="G1204" s="45" t="n"/>
      <c r="H1204" s="45" t="n"/>
      <c r="I1204" s="45" t="n"/>
      <c r="J1204" s="38" t="n"/>
    </row>
    <row r="1205">
      <c r="A1205" s="16">
        <f>IF($B1205="","",COUNTA($B$4:$B1205))</f>
        <v/>
      </c>
      <c r="B1205" s="72" t="n"/>
      <c r="C1205" s="46" t="n"/>
      <c r="D1205" s="47" t="n"/>
      <c r="E1205" s="47" t="n"/>
      <c r="F1205" s="47" t="n"/>
      <c r="G1205" s="47" t="n"/>
      <c r="H1205" s="47" t="n"/>
      <c r="I1205" s="47" t="n"/>
      <c r="J1205" s="40" t="n"/>
    </row>
    <row r="1206">
      <c r="A1206" s="16">
        <f>IF($B1206="","",COUNTA($B$4:$B1206))</f>
        <v/>
      </c>
      <c r="B1206" s="71" t="n"/>
      <c r="C1206" s="44" t="n"/>
      <c r="D1206" s="45" t="n"/>
      <c r="E1206" s="45" t="n"/>
      <c r="F1206" s="45" t="n"/>
      <c r="G1206" s="45" t="n"/>
      <c r="H1206" s="45" t="n"/>
      <c r="I1206" s="45" t="n"/>
      <c r="J1206" s="38" t="n"/>
    </row>
    <row r="1207">
      <c r="A1207" s="16">
        <f>IF($B1207="","",COUNTA($B$4:$B1207))</f>
        <v/>
      </c>
      <c r="B1207" s="72" t="n"/>
      <c r="C1207" s="46" t="n"/>
      <c r="D1207" s="47" t="n"/>
      <c r="E1207" s="47" t="n"/>
      <c r="F1207" s="47" t="n"/>
      <c r="G1207" s="47" t="n"/>
      <c r="H1207" s="47" t="n"/>
      <c r="I1207" s="47" t="n"/>
      <c r="J1207" s="40" t="n"/>
    </row>
    <row r="1208">
      <c r="A1208" s="16">
        <f>IF($B1208="","",COUNTA($B$4:$B1208))</f>
        <v/>
      </c>
      <c r="B1208" s="71" t="n"/>
      <c r="C1208" s="44" t="n"/>
      <c r="D1208" s="45" t="n"/>
      <c r="E1208" s="45" t="n"/>
      <c r="F1208" s="45" t="n"/>
      <c r="G1208" s="45" t="n"/>
      <c r="H1208" s="45" t="n"/>
      <c r="I1208" s="45" t="n"/>
      <c r="J1208" s="38" t="n"/>
    </row>
    <row r="1209">
      <c r="A1209" s="16">
        <f>IF($B1209="","",COUNTA($B$4:$B1209))</f>
        <v/>
      </c>
      <c r="B1209" s="72" t="n"/>
      <c r="C1209" s="46" t="n"/>
      <c r="D1209" s="47" t="n"/>
      <c r="E1209" s="47" t="n"/>
      <c r="F1209" s="47" t="n"/>
      <c r="G1209" s="47" t="n"/>
      <c r="H1209" s="47" t="n"/>
      <c r="I1209" s="47" t="n"/>
      <c r="J1209" s="40" t="n"/>
    </row>
    <row r="1210">
      <c r="A1210" s="16">
        <f>IF($B1210="","",COUNTA($B$4:$B1210))</f>
        <v/>
      </c>
      <c r="B1210" s="71" t="n"/>
      <c r="C1210" s="44" t="n"/>
      <c r="D1210" s="45" t="n"/>
      <c r="E1210" s="45" t="n"/>
      <c r="F1210" s="45" t="n"/>
      <c r="G1210" s="45" t="n"/>
      <c r="H1210" s="45" t="n"/>
      <c r="I1210" s="45" t="n"/>
      <c r="J1210" s="38" t="n"/>
    </row>
    <row r="1211">
      <c r="A1211" s="16">
        <f>IF($B1211="","",COUNTA($B$4:$B1211))</f>
        <v/>
      </c>
      <c r="B1211" s="72" t="n"/>
      <c r="C1211" s="46" t="n"/>
      <c r="D1211" s="47" t="n"/>
      <c r="E1211" s="47" t="n"/>
      <c r="F1211" s="47" t="n"/>
      <c r="G1211" s="47" t="n"/>
      <c r="H1211" s="47" t="n"/>
      <c r="I1211" s="47" t="n"/>
      <c r="J1211" s="40" t="n"/>
    </row>
    <row r="1212">
      <c r="A1212" s="16">
        <f>IF($B1212="","",COUNTA($B$4:$B1212))</f>
        <v/>
      </c>
      <c r="B1212" s="71" t="n"/>
      <c r="C1212" s="44" t="n"/>
      <c r="D1212" s="45" t="n"/>
      <c r="E1212" s="45" t="n"/>
      <c r="F1212" s="45" t="n"/>
      <c r="G1212" s="45" t="n"/>
      <c r="H1212" s="45" t="n"/>
      <c r="I1212" s="45" t="n"/>
      <c r="J1212" s="38" t="n"/>
    </row>
    <row r="1213">
      <c r="A1213" s="16">
        <f>IF($B1213="","",COUNTA($B$4:$B1213))</f>
        <v/>
      </c>
      <c r="B1213" s="72" t="n"/>
      <c r="C1213" s="46" t="n"/>
      <c r="D1213" s="47" t="n"/>
      <c r="E1213" s="47" t="n"/>
      <c r="F1213" s="47" t="n"/>
      <c r="G1213" s="47" t="n"/>
      <c r="H1213" s="47" t="n"/>
      <c r="I1213" s="47" t="n"/>
      <c r="J1213" s="40" t="n"/>
    </row>
    <row r="1214">
      <c r="A1214" s="16">
        <f>IF($B1214="","",COUNTA($B$4:$B1214))</f>
        <v/>
      </c>
      <c r="B1214" s="71" t="n"/>
      <c r="C1214" s="44" t="n"/>
      <c r="D1214" s="45" t="n"/>
      <c r="E1214" s="45" t="n"/>
      <c r="F1214" s="45" t="n"/>
      <c r="G1214" s="45" t="n"/>
      <c r="H1214" s="45" t="n"/>
      <c r="I1214" s="45" t="n"/>
      <c r="J1214" s="38" t="n"/>
    </row>
    <row r="1215">
      <c r="A1215" s="16">
        <f>IF($B1215="","",COUNTA($B$4:$B1215))</f>
        <v/>
      </c>
      <c r="B1215" s="72" t="n"/>
      <c r="C1215" s="46" t="n"/>
      <c r="D1215" s="47" t="n"/>
      <c r="E1215" s="47" t="n"/>
      <c r="F1215" s="47" t="n"/>
      <c r="G1215" s="47" t="n"/>
      <c r="H1215" s="47" t="n"/>
      <c r="I1215" s="47" t="n"/>
      <c r="J1215" s="40" t="n"/>
    </row>
    <row r="1216">
      <c r="A1216" s="16">
        <f>IF($B1216="","",COUNTA($B$4:$B1216))</f>
        <v/>
      </c>
      <c r="B1216" s="71" t="n"/>
      <c r="C1216" s="44" t="n"/>
      <c r="D1216" s="45" t="n"/>
      <c r="E1216" s="45" t="n"/>
      <c r="F1216" s="45" t="n"/>
      <c r="G1216" s="45" t="n"/>
      <c r="H1216" s="45" t="n"/>
      <c r="I1216" s="45" t="n"/>
      <c r="J1216" s="38" t="n"/>
    </row>
    <row r="1217">
      <c r="A1217" s="16">
        <f>IF($B1217="","",COUNTA($B$4:$B1217))</f>
        <v/>
      </c>
      <c r="B1217" s="72" t="n"/>
      <c r="C1217" s="46" t="n"/>
      <c r="D1217" s="47" t="n"/>
      <c r="E1217" s="47" t="n"/>
      <c r="F1217" s="47" t="n"/>
      <c r="G1217" s="47" t="n"/>
      <c r="H1217" s="47" t="n"/>
      <c r="I1217" s="47" t="n"/>
      <c r="J1217" s="40" t="n"/>
    </row>
    <row r="1218">
      <c r="A1218" s="16">
        <f>IF($B1218="","",COUNTA($B$4:$B1218))</f>
        <v/>
      </c>
      <c r="B1218" s="71" t="n"/>
      <c r="C1218" s="44" t="n"/>
      <c r="D1218" s="45" t="n"/>
      <c r="E1218" s="45" t="n"/>
      <c r="F1218" s="45" t="n"/>
      <c r="G1218" s="45" t="n"/>
      <c r="H1218" s="45" t="n"/>
      <c r="I1218" s="45" t="n"/>
      <c r="J1218" s="38" t="n"/>
    </row>
    <row r="1219">
      <c r="A1219" s="16">
        <f>IF($B1219="","",COUNTA($B$4:$B1219))</f>
        <v/>
      </c>
      <c r="B1219" s="72" t="n"/>
      <c r="C1219" s="46" t="n"/>
      <c r="D1219" s="47" t="n"/>
      <c r="E1219" s="47" t="n"/>
      <c r="F1219" s="47" t="n"/>
      <c r="G1219" s="47" t="n"/>
      <c r="H1219" s="47" t="n"/>
      <c r="I1219" s="47" t="n"/>
      <c r="J1219" s="40" t="n"/>
    </row>
    <row r="1220">
      <c r="A1220" s="16">
        <f>IF($B1220="","",COUNTA($B$4:$B1220))</f>
        <v/>
      </c>
      <c r="B1220" s="71" t="n"/>
      <c r="C1220" s="44" t="n"/>
      <c r="D1220" s="45" t="n"/>
      <c r="E1220" s="45" t="n"/>
      <c r="F1220" s="45" t="n"/>
      <c r="G1220" s="45" t="n"/>
      <c r="H1220" s="45" t="n"/>
      <c r="I1220" s="45" t="n"/>
      <c r="J1220" s="38" t="n"/>
    </row>
    <row r="1221">
      <c r="A1221" s="16">
        <f>IF($B1221="","",COUNTA($B$4:$B1221))</f>
        <v/>
      </c>
      <c r="B1221" s="72" t="n"/>
      <c r="C1221" s="46" t="n"/>
      <c r="D1221" s="47" t="n"/>
      <c r="E1221" s="47" t="n"/>
      <c r="F1221" s="47" t="n"/>
      <c r="G1221" s="47" t="n"/>
      <c r="H1221" s="47" t="n"/>
      <c r="I1221" s="47" t="n"/>
      <c r="J1221" s="40" t="n"/>
    </row>
    <row r="1222">
      <c r="A1222" s="16">
        <f>IF($B1222="","",COUNTA($B$4:$B1222))</f>
        <v/>
      </c>
      <c r="B1222" s="71" t="n"/>
      <c r="C1222" s="44" t="n"/>
      <c r="D1222" s="45" t="n"/>
      <c r="E1222" s="45" t="n"/>
      <c r="F1222" s="45" t="n"/>
      <c r="G1222" s="45" t="n"/>
      <c r="H1222" s="45" t="n"/>
      <c r="I1222" s="45" t="n"/>
      <c r="J1222" s="38" t="n"/>
    </row>
    <row r="1223">
      <c r="A1223" s="16">
        <f>IF($B1223="","",COUNTA($B$4:$B1223))</f>
        <v/>
      </c>
      <c r="B1223" s="72" t="n"/>
      <c r="C1223" s="46" t="n"/>
      <c r="D1223" s="47" t="n"/>
      <c r="E1223" s="47" t="n"/>
      <c r="F1223" s="47" t="n"/>
      <c r="G1223" s="47" t="n"/>
      <c r="H1223" s="47" t="n"/>
      <c r="I1223" s="47" t="n"/>
      <c r="J1223" s="40" t="n"/>
    </row>
    <row r="1224">
      <c r="A1224" s="16">
        <f>IF($B1224="","",COUNTA($B$4:$B1224))</f>
        <v/>
      </c>
      <c r="B1224" s="71" t="n"/>
      <c r="C1224" s="44" t="n"/>
      <c r="D1224" s="45" t="n"/>
      <c r="E1224" s="45" t="n"/>
      <c r="F1224" s="45" t="n"/>
      <c r="G1224" s="45" t="n"/>
      <c r="H1224" s="45" t="n"/>
      <c r="I1224" s="45" t="n"/>
      <c r="J1224" s="38" t="n"/>
    </row>
    <row r="1225">
      <c r="A1225" s="16">
        <f>IF($B1225="","",COUNTA($B$4:$B1225))</f>
        <v/>
      </c>
      <c r="B1225" s="72" t="n"/>
      <c r="C1225" s="46" t="n"/>
      <c r="D1225" s="47" t="n"/>
      <c r="E1225" s="47" t="n"/>
      <c r="F1225" s="47" t="n"/>
      <c r="G1225" s="47" t="n"/>
      <c r="H1225" s="47" t="n"/>
      <c r="I1225" s="47" t="n"/>
      <c r="J1225" s="40" t="n"/>
    </row>
    <row r="1226">
      <c r="A1226" s="16">
        <f>IF($B1226="","",COUNTA($B$4:$B1226))</f>
        <v/>
      </c>
      <c r="B1226" s="71" t="n"/>
      <c r="C1226" s="44" t="n"/>
      <c r="D1226" s="45" t="n"/>
      <c r="E1226" s="45" t="n"/>
      <c r="F1226" s="45" t="n"/>
      <c r="G1226" s="45" t="n"/>
      <c r="H1226" s="45" t="n"/>
      <c r="I1226" s="45" t="n"/>
      <c r="J1226" s="38" t="n"/>
    </row>
    <row r="1227">
      <c r="A1227" s="16">
        <f>IF($B1227="","",COUNTA($B$4:$B1227))</f>
        <v/>
      </c>
      <c r="B1227" s="72" t="n"/>
      <c r="C1227" s="46" t="n"/>
      <c r="D1227" s="47" t="n"/>
      <c r="E1227" s="47" t="n"/>
      <c r="F1227" s="47" t="n"/>
      <c r="G1227" s="47" t="n"/>
      <c r="H1227" s="47" t="n"/>
      <c r="I1227" s="47" t="n"/>
      <c r="J1227" s="40" t="n"/>
    </row>
    <row r="1228">
      <c r="A1228" s="16">
        <f>IF($B1228="","",COUNTA($B$4:$B1228))</f>
        <v/>
      </c>
      <c r="B1228" s="71" t="n"/>
      <c r="C1228" s="44" t="n"/>
      <c r="D1228" s="45" t="n"/>
      <c r="E1228" s="45" t="n"/>
      <c r="F1228" s="45" t="n"/>
      <c r="G1228" s="45" t="n"/>
      <c r="H1228" s="45" t="n"/>
      <c r="I1228" s="45" t="n"/>
      <c r="J1228" s="38" t="n"/>
    </row>
    <row r="1229">
      <c r="A1229" s="16">
        <f>IF($B1229="","",COUNTA($B$4:$B1229))</f>
        <v/>
      </c>
      <c r="B1229" s="72" t="n"/>
      <c r="C1229" s="46" t="n"/>
      <c r="D1229" s="47" t="n"/>
      <c r="E1229" s="47" t="n"/>
      <c r="F1229" s="47" t="n"/>
      <c r="G1229" s="47" t="n"/>
      <c r="H1229" s="47" t="n"/>
      <c r="I1229" s="47" t="n"/>
      <c r="J1229" s="40" t="n"/>
    </row>
    <row r="1230">
      <c r="A1230" s="16">
        <f>IF($B1230="","",COUNTA($B$4:$B1230))</f>
        <v/>
      </c>
      <c r="B1230" s="71" t="n"/>
      <c r="C1230" s="44" t="n"/>
      <c r="D1230" s="45" t="n"/>
      <c r="E1230" s="45" t="n"/>
      <c r="F1230" s="45" t="n"/>
      <c r="G1230" s="45" t="n"/>
      <c r="H1230" s="45" t="n"/>
      <c r="I1230" s="45" t="n"/>
      <c r="J1230" s="38" t="n"/>
    </row>
    <row r="1231">
      <c r="A1231" s="16">
        <f>IF($B1231="","",COUNTA($B$4:$B1231))</f>
        <v/>
      </c>
      <c r="B1231" s="72" t="n"/>
      <c r="C1231" s="46" t="n"/>
      <c r="D1231" s="47" t="n"/>
      <c r="E1231" s="47" t="n"/>
      <c r="F1231" s="47" t="n"/>
      <c r="G1231" s="47" t="n"/>
      <c r="H1231" s="47" t="n"/>
      <c r="I1231" s="47" t="n"/>
      <c r="J1231" s="40" t="n"/>
    </row>
    <row r="1232">
      <c r="A1232" s="16">
        <f>IF($B1232="","",COUNTA($B$4:$B1232))</f>
        <v/>
      </c>
      <c r="B1232" s="71" t="n"/>
      <c r="C1232" s="44" t="n"/>
      <c r="D1232" s="45" t="n"/>
      <c r="E1232" s="45" t="n"/>
      <c r="F1232" s="45" t="n"/>
      <c r="G1232" s="45" t="n"/>
      <c r="H1232" s="45" t="n"/>
      <c r="I1232" s="45" t="n"/>
      <c r="J1232" s="38" t="n"/>
    </row>
    <row r="1233">
      <c r="A1233" s="16">
        <f>IF($B1233="","",COUNTA($B$4:$B1233))</f>
        <v/>
      </c>
      <c r="B1233" s="72" t="n"/>
      <c r="C1233" s="46" t="n"/>
      <c r="D1233" s="47" t="n"/>
      <c r="E1233" s="47" t="n"/>
      <c r="F1233" s="47" t="n"/>
      <c r="G1233" s="47" t="n"/>
      <c r="H1233" s="47" t="n"/>
      <c r="I1233" s="47" t="n"/>
      <c r="J1233" s="40" t="n"/>
    </row>
    <row r="1234">
      <c r="A1234" s="16">
        <f>IF($B1234="","",COUNTA($B$4:$B1234))</f>
        <v/>
      </c>
      <c r="B1234" s="71" t="n"/>
      <c r="C1234" s="44" t="n"/>
      <c r="D1234" s="45" t="n"/>
      <c r="E1234" s="45" t="n"/>
      <c r="F1234" s="45" t="n"/>
      <c r="G1234" s="45" t="n"/>
      <c r="H1234" s="45" t="n"/>
      <c r="I1234" s="45" t="n"/>
      <c r="J1234" s="38" t="n"/>
    </row>
    <row r="1235">
      <c r="A1235" s="16">
        <f>IF($B1235="","",COUNTA($B$4:$B1235))</f>
        <v/>
      </c>
      <c r="B1235" s="72" t="n"/>
      <c r="C1235" s="46" t="n"/>
      <c r="D1235" s="47" t="n"/>
      <c r="E1235" s="47" t="n"/>
      <c r="F1235" s="47" t="n"/>
      <c r="G1235" s="47" t="n"/>
      <c r="H1235" s="47" t="n"/>
      <c r="I1235" s="47" t="n"/>
      <c r="J1235" s="40" t="n"/>
    </row>
    <row r="1236">
      <c r="A1236" s="16">
        <f>IF($B1236="","",COUNTA($B$4:$B1236))</f>
        <v/>
      </c>
      <c r="B1236" s="71" t="n"/>
      <c r="C1236" s="44" t="n"/>
      <c r="D1236" s="45" t="n"/>
      <c r="E1236" s="45" t="n"/>
      <c r="F1236" s="45" t="n"/>
      <c r="G1236" s="45" t="n"/>
      <c r="H1236" s="45" t="n"/>
      <c r="I1236" s="45" t="n"/>
      <c r="J1236" s="38" t="n"/>
    </row>
    <row r="1237">
      <c r="A1237" s="16">
        <f>IF($B1237="","",COUNTA($B$4:$B1237))</f>
        <v/>
      </c>
      <c r="B1237" s="72" t="n"/>
      <c r="C1237" s="46" t="n"/>
      <c r="D1237" s="47" t="n"/>
      <c r="E1237" s="47" t="n"/>
      <c r="F1237" s="47" t="n"/>
      <c r="G1237" s="47" t="n"/>
      <c r="H1237" s="47" t="n"/>
      <c r="I1237" s="47" t="n"/>
      <c r="J1237" s="40" t="n"/>
    </row>
    <row r="1238">
      <c r="A1238" s="16">
        <f>IF($B1238="","",COUNTA($B$4:$B1238))</f>
        <v/>
      </c>
      <c r="B1238" s="71" t="n"/>
      <c r="C1238" s="44" t="n"/>
      <c r="D1238" s="45" t="n"/>
      <c r="E1238" s="45" t="n"/>
      <c r="F1238" s="45" t="n"/>
      <c r="G1238" s="45" t="n"/>
      <c r="H1238" s="45" t="n"/>
      <c r="I1238" s="45" t="n"/>
      <c r="J1238" s="38" t="n"/>
    </row>
    <row r="1239">
      <c r="A1239" s="16">
        <f>IF($B1239="","",COUNTA($B$4:$B1239))</f>
        <v/>
      </c>
      <c r="B1239" s="72" t="n"/>
      <c r="C1239" s="46" t="n"/>
      <c r="D1239" s="47" t="n"/>
      <c r="E1239" s="47" t="n"/>
      <c r="F1239" s="47" t="n"/>
      <c r="G1239" s="47" t="n"/>
      <c r="H1239" s="47" t="n"/>
      <c r="I1239" s="47" t="n"/>
      <c r="J1239" s="40" t="n"/>
    </row>
    <row r="1240">
      <c r="A1240" s="16">
        <f>IF($B1240="","",COUNTA($B$4:$B1240))</f>
        <v/>
      </c>
      <c r="B1240" s="71" t="n"/>
      <c r="C1240" s="44" t="n"/>
      <c r="D1240" s="45" t="n"/>
      <c r="E1240" s="45" t="n"/>
      <c r="F1240" s="45" t="n"/>
      <c r="G1240" s="45" t="n"/>
      <c r="H1240" s="45" t="n"/>
      <c r="I1240" s="45" t="n"/>
      <c r="J1240" s="38" t="n"/>
    </row>
    <row r="1241">
      <c r="A1241" s="16">
        <f>IF($B1241="","",COUNTA($B$4:$B1241))</f>
        <v/>
      </c>
      <c r="B1241" s="72" t="n"/>
      <c r="C1241" s="46" t="n"/>
      <c r="D1241" s="47" t="n"/>
      <c r="E1241" s="47" t="n"/>
      <c r="F1241" s="47" t="n"/>
      <c r="G1241" s="47" t="n"/>
      <c r="H1241" s="47" t="n"/>
      <c r="I1241" s="47" t="n"/>
      <c r="J1241" s="40" t="n"/>
    </row>
    <row r="1242">
      <c r="A1242" s="16">
        <f>IF($B1242="","",COUNTA($B$4:$B1242))</f>
        <v/>
      </c>
      <c r="B1242" s="71" t="n"/>
      <c r="C1242" s="44" t="n"/>
      <c r="D1242" s="45" t="n"/>
      <c r="E1242" s="45" t="n"/>
      <c r="F1242" s="45" t="n"/>
      <c r="G1242" s="45" t="n"/>
      <c r="H1242" s="45" t="n"/>
      <c r="I1242" s="45" t="n"/>
      <c r="J1242" s="38" t="n"/>
    </row>
    <row r="1243">
      <c r="A1243" s="16">
        <f>IF($B1243="","",COUNTA($B$4:$B1243))</f>
        <v/>
      </c>
      <c r="B1243" s="72" t="n"/>
      <c r="C1243" s="46" t="n"/>
      <c r="D1243" s="47" t="n"/>
      <c r="E1243" s="47" t="n"/>
      <c r="F1243" s="47" t="n"/>
      <c r="G1243" s="47" t="n"/>
      <c r="H1243" s="47" t="n"/>
      <c r="I1243" s="47" t="n"/>
      <c r="J1243" s="40" t="n"/>
    </row>
    <row r="1244">
      <c r="A1244" s="16">
        <f>IF($B1244="","",COUNTA($B$4:$B1244))</f>
        <v/>
      </c>
      <c r="B1244" s="71" t="n"/>
      <c r="C1244" s="44" t="n"/>
      <c r="D1244" s="45" t="n"/>
      <c r="E1244" s="45" t="n"/>
      <c r="F1244" s="45" t="n"/>
      <c r="G1244" s="45" t="n"/>
      <c r="H1244" s="45" t="n"/>
      <c r="I1244" s="45" t="n"/>
      <c r="J1244" s="38" t="n"/>
    </row>
    <row r="1245">
      <c r="A1245" s="16">
        <f>IF($B1245="","",COUNTA($B$4:$B1245))</f>
        <v/>
      </c>
      <c r="B1245" s="72" t="n"/>
      <c r="C1245" s="46" t="n"/>
      <c r="D1245" s="47" t="n"/>
      <c r="E1245" s="47" t="n"/>
      <c r="F1245" s="47" t="n"/>
      <c r="G1245" s="47" t="n"/>
      <c r="H1245" s="47" t="n"/>
      <c r="I1245" s="47" t="n"/>
      <c r="J1245" s="40" t="n"/>
    </row>
    <row r="1246">
      <c r="A1246" s="16">
        <f>IF($B1246="","",COUNTA($B$4:$B1246))</f>
        <v/>
      </c>
      <c r="B1246" s="71" t="n"/>
      <c r="C1246" s="44" t="n"/>
      <c r="D1246" s="45" t="n"/>
      <c r="E1246" s="45" t="n"/>
      <c r="F1246" s="45" t="n"/>
      <c r="G1246" s="45" t="n"/>
      <c r="H1246" s="45" t="n"/>
      <c r="I1246" s="45" t="n"/>
      <c r="J1246" s="38" t="n"/>
    </row>
    <row r="1247">
      <c r="A1247" s="16">
        <f>IF($B1247="","",COUNTA($B$4:$B1247))</f>
        <v/>
      </c>
      <c r="B1247" s="72" t="n"/>
      <c r="C1247" s="46" t="n"/>
      <c r="D1247" s="47" t="n"/>
      <c r="E1247" s="47" t="n"/>
      <c r="F1247" s="47" t="n"/>
      <c r="G1247" s="47" t="n"/>
      <c r="H1247" s="47" t="n"/>
      <c r="I1247" s="47" t="n"/>
      <c r="J1247" s="40" t="n"/>
    </row>
    <row r="1248">
      <c r="A1248" s="16">
        <f>IF($B1248="","",COUNTA($B$4:$B1248))</f>
        <v/>
      </c>
      <c r="B1248" s="71" t="n"/>
      <c r="C1248" s="44" t="n"/>
      <c r="D1248" s="45" t="n"/>
      <c r="E1248" s="45" t="n"/>
      <c r="F1248" s="45" t="n"/>
      <c r="G1248" s="45" t="n"/>
      <c r="H1248" s="45" t="n"/>
      <c r="I1248" s="45" t="n"/>
      <c r="J1248" s="38" t="n"/>
    </row>
    <row r="1249">
      <c r="A1249" s="16">
        <f>IF($B1249="","",COUNTA($B$4:$B1249))</f>
        <v/>
      </c>
      <c r="B1249" s="72" t="n"/>
      <c r="C1249" s="46" t="n"/>
      <c r="D1249" s="47" t="n"/>
      <c r="E1249" s="47" t="n"/>
      <c r="F1249" s="47" t="n"/>
      <c r="G1249" s="47" t="n"/>
      <c r="H1249" s="47" t="n"/>
      <c r="I1249" s="47" t="n"/>
      <c r="J1249" s="40" t="n"/>
    </row>
    <row r="1250">
      <c r="A1250" s="16">
        <f>IF($B1250="","",COUNTA($B$4:$B1250))</f>
        <v/>
      </c>
      <c r="B1250" s="71" t="n"/>
      <c r="C1250" s="44" t="n"/>
      <c r="D1250" s="45" t="n"/>
      <c r="E1250" s="45" t="n"/>
      <c r="F1250" s="45" t="n"/>
      <c r="G1250" s="45" t="n"/>
      <c r="H1250" s="45" t="n"/>
      <c r="I1250" s="45" t="n"/>
      <c r="J1250" s="38" t="n"/>
    </row>
    <row r="1251">
      <c r="A1251" s="16">
        <f>IF($B1251="","",COUNTA($B$4:$B1251))</f>
        <v/>
      </c>
      <c r="B1251" s="72" t="n"/>
      <c r="C1251" s="46" t="n"/>
      <c r="D1251" s="47" t="n"/>
      <c r="E1251" s="47" t="n"/>
      <c r="F1251" s="47" t="n"/>
      <c r="G1251" s="47" t="n"/>
      <c r="H1251" s="47" t="n"/>
      <c r="I1251" s="47" t="n"/>
      <c r="J1251" s="40" t="n"/>
    </row>
    <row r="1252">
      <c r="A1252" s="16">
        <f>IF($B1252="","",COUNTA($B$4:$B1252))</f>
        <v/>
      </c>
      <c r="B1252" s="71" t="n"/>
      <c r="C1252" s="44" t="n"/>
      <c r="D1252" s="45" t="n"/>
      <c r="E1252" s="45" t="n"/>
      <c r="F1252" s="45" t="n"/>
      <c r="G1252" s="45" t="n"/>
      <c r="H1252" s="45" t="n"/>
      <c r="I1252" s="45" t="n"/>
      <c r="J1252" s="38" t="n"/>
    </row>
    <row r="1253">
      <c r="A1253" s="16">
        <f>IF($B1253="","",COUNTA($B$4:$B1253))</f>
        <v/>
      </c>
      <c r="B1253" s="72" t="n"/>
      <c r="C1253" s="46" t="n"/>
      <c r="D1253" s="47" t="n"/>
      <c r="E1253" s="47" t="n"/>
      <c r="F1253" s="47" t="n"/>
      <c r="G1253" s="47" t="n"/>
      <c r="H1253" s="47" t="n"/>
      <c r="I1253" s="47" t="n"/>
      <c r="J1253" s="40" t="n"/>
    </row>
    <row r="1254">
      <c r="A1254" s="16">
        <f>IF($B1254="","",COUNTA($B$4:$B1254))</f>
        <v/>
      </c>
      <c r="B1254" s="71" t="n"/>
      <c r="C1254" s="44" t="n"/>
      <c r="D1254" s="45" t="n"/>
      <c r="E1254" s="45" t="n"/>
      <c r="F1254" s="45" t="n"/>
      <c r="G1254" s="45" t="n"/>
      <c r="H1254" s="45" t="n"/>
      <c r="I1254" s="45" t="n"/>
      <c r="J1254" s="38" t="n"/>
    </row>
    <row r="1255">
      <c r="A1255" s="16">
        <f>IF($B1255="","",COUNTA($B$4:$B1255))</f>
        <v/>
      </c>
      <c r="B1255" s="72" t="n"/>
      <c r="C1255" s="46" t="n"/>
      <c r="D1255" s="47" t="n"/>
      <c r="E1255" s="47" t="n"/>
      <c r="F1255" s="47" t="n"/>
      <c r="G1255" s="47" t="n"/>
      <c r="H1255" s="47" t="n"/>
      <c r="I1255" s="47" t="n"/>
      <c r="J1255" s="40" t="n"/>
    </row>
    <row r="1256">
      <c r="A1256" s="16">
        <f>IF($B1256="","",COUNTA($B$4:$B1256))</f>
        <v/>
      </c>
      <c r="B1256" s="71" t="n"/>
      <c r="C1256" s="44" t="n"/>
      <c r="D1256" s="45" t="n"/>
      <c r="E1256" s="45" t="n"/>
      <c r="F1256" s="45" t="n"/>
      <c r="G1256" s="45" t="n"/>
      <c r="H1256" s="45" t="n"/>
      <c r="I1256" s="45" t="n"/>
      <c r="J1256" s="38" t="n"/>
    </row>
    <row r="1257">
      <c r="A1257" s="16">
        <f>IF($B1257="","",COUNTA($B$4:$B1257))</f>
        <v/>
      </c>
      <c r="B1257" s="72" t="n"/>
      <c r="C1257" s="46" t="n"/>
      <c r="D1257" s="47" t="n"/>
      <c r="E1257" s="47" t="n"/>
      <c r="F1257" s="47" t="n"/>
      <c r="G1257" s="47" t="n"/>
      <c r="H1257" s="47" t="n"/>
      <c r="I1257" s="47" t="n"/>
      <c r="J1257" s="40" t="n"/>
    </row>
    <row r="1258">
      <c r="A1258" s="16">
        <f>IF($B1258="","",COUNTA($B$4:$B1258))</f>
        <v/>
      </c>
      <c r="B1258" s="71" t="n"/>
      <c r="C1258" s="44" t="n"/>
      <c r="D1258" s="45" t="n"/>
      <c r="E1258" s="45" t="n"/>
      <c r="F1258" s="45" t="n"/>
      <c r="G1258" s="45" t="n"/>
      <c r="H1258" s="45" t="n"/>
      <c r="I1258" s="45" t="n"/>
      <c r="J1258" s="38" t="n"/>
    </row>
    <row r="1259">
      <c r="A1259" s="16">
        <f>IF($B1259="","",COUNTA($B$4:$B1259))</f>
        <v/>
      </c>
      <c r="B1259" s="72" t="n"/>
      <c r="C1259" s="46" t="n"/>
      <c r="D1259" s="47" t="n"/>
      <c r="E1259" s="47" t="n"/>
      <c r="F1259" s="47" t="n"/>
      <c r="G1259" s="47" t="n"/>
      <c r="H1259" s="47" t="n"/>
      <c r="I1259" s="47" t="n"/>
      <c r="J1259" s="40" t="n"/>
    </row>
    <row r="1260">
      <c r="A1260" s="16">
        <f>IF($B1260="","",COUNTA($B$4:$B1260))</f>
        <v/>
      </c>
      <c r="B1260" s="71" t="n"/>
      <c r="C1260" s="44" t="n"/>
      <c r="D1260" s="45" t="n"/>
      <c r="E1260" s="45" t="n"/>
      <c r="F1260" s="45" t="n"/>
      <c r="G1260" s="45" t="n"/>
      <c r="H1260" s="45" t="n"/>
      <c r="I1260" s="45" t="n"/>
      <c r="J1260" s="38" t="n"/>
    </row>
    <row r="1261">
      <c r="A1261" s="16">
        <f>IF($B1261="","",COUNTA($B$4:$B1261))</f>
        <v/>
      </c>
      <c r="B1261" s="72" t="n"/>
      <c r="C1261" s="46" t="n"/>
      <c r="D1261" s="47" t="n"/>
      <c r="E1261" s="47" t="n"/>
      <c r="F1261" s="47" t="n"/>
      <c r="G1261" s="47" t="n"/>
      <c r="H1261" s="47" t="n"/>
      <c r="I1261" s="47" t="n"/>
      <c r="J1261" s="40" t="n"/>
    </row>
    <row r="1262">
      <c r="A1262" s="16">
        <f>IF($B1262="","",COUNTA($B$4:$B1262))</f>
        <v/>
      </c>
      <c r="B1262" s="71" t="n"/>
      <c r="C1262" s="44" t="n"/>
      <c r="D1262" s="45" t="n"/>
      <c r="E1262" s="45" t="n"/>
      <c r="F1262" s="45" t="n"/>
      <c r="G1262" s="45" t="n"/>
      <c r="H1262" s="45" t="n"/>
      <c r="I1262" s="45" t="n"/>
      <c r="J1262" s="38" t="n"/>
    </row>
    <row r="1263">
      <c r="A1263" s="16">
        <f>IF($B1263="","",COUNTA($B$4:$B1263))</f>
        <v/>
      </c>
      <c r="B1263" s="72" t="n"/>
      <c r="C1263" s="46" t="n"/>
      <c r="D1263" s="47" t="n"/>
      <c r="E1263" s="47" t="n"/>
      <c r="F1263" s="47" t="n"/>
      <c r="G1263" s="47" t="n"/>
      <c r="H1263" s="47" t="n"/>
      <c r="I1263" s="47" t="n"/>
      <c r="J1263" s="40" t="n"/>
    </row>
    <row r="1264">
      <c r="A1264" s="16">
        <f>IF($B1264="","",COUNTA($B$4:$B1264))</f>
        <v/>
      </c>
      <c r="B1264" s="71" t="n"/>
      <c r="C1264" s="44" t="n"/>
      <c r="D1264" s="45" t="n"/>
      <c r="E1264" s="45" t="n"/>
      <c r="F1264" s="45" t="n"/>
      <c r="G1264" s="45" t="n"/>
      <c r="H1264" s="45" t="n"/>
      <c r="I1264" s="45" t="n"/>
      <c r="J1264" s="38" t="n"/>
    </row>
    <row r="1265">
      <c r="A1265" s="16">
        <f>IF($B1265="","",COUNTA($B$4:$B1265))</f>
        <v/>
      </c>
      <c r="B1265" s="72" t="n"/>
      <c r="C1265" s="46" t="n"/>
      <c r="D1265" s="47" t="n"/>
      <c r="E1265" s="47" t="n"/>
      <c r="F1265" s="47" t="n"/>
      <c r="G1265" s="47" t="n"/>
      <c r="H1265" s="47" t="n"/>
      <c r="I1265" s="47" t="n"/>
      <c r="J1265" s="40" t="n"/>
    </row>
    <row r="1266">
      <c r="A1266" s="16">
        <f>IF($B1266="","",COUNTA($B$4:$B1266))</f>
        <v/>
      </c>
      <c r="B1266" s="71" t="n"/>
      <c r="C1266" s="44" t="n"/>
      <c r="D1266" s="45" t="n"/>
      <c r="E1266" s="45" t="n"/>
      <c r="F1266" s="45" t="n"/>
      <c r="G1266" s="45" t="n"/>
      <c r="H1266" s="45" t="n"/>
      <c r="I1266" s="45" t="n"/>
      <c r="J1266" s="38" t="n"/>
    </row>
    <row r="1267">
      <c r="A1267" s="16">
        <f>IF($B1267="","",COUNTA($B$4:$B1267))</f>
        <v/>
      </c>
      <c r="B1267" s="72" t="n"/>
      <c r="C1267" s="46" t="n"/>
      <c r="D1267" s="47" t="n"/>
      <c r="E1267" s="47" t="n"/>
      <c r="F1267" s="47" t="n"/>
      <c r="G1267" s="47" t="n"/>
      <c r="H1267" s="47" t="n"/>
      <c r="I1267" s="47" t="n"/>
      <c r="J1267" s="40" t="n"/>
    </row>
    <row r="1268">
      <c r="A1268" s="16">
        <f>IF($B1268="","",COUNTA($B$4:$B1268))</f>
        <v/>
      </c>
      <c r="B1268" s="71" t="n"/>
      <c r="C1268" s="44" t="n"/>
      <c r="D1268" s="45" t="n"/>
      <c r="E1268" s="45" t="n"/>
      <c r="F1268" s="45" t="n"/>
      <c r="G1268" s="45" t="n"/>
      <c r="H1268" s="45" t="n"/>
      <c r="I1268" s="45" t="n"/>
      <c r="J1268" s="38" t="n"/>
    </row>
    <row r="1269">
      <c r="A1269" s="16">
        <f>IF($B1269="","",COUNTA($B$4:$B1269))</f>
        <v/>
      </c>
      <c r="B1269" s="72" t="n"/>
      <c r="C1269" s="46" t="n"/>
      <c r="D1269" s="47" t="n"/>
      <c r="E1269" s="47" t="n"/>
      <c r="F1269" s="47" t="n"/>
      <c r="G1269" s="47" t="n"/>
      <c r="H1269" s="47" t="n"/>
      <c r="I1269" s="47" t="n"/>
      <c r="J1269" s="40" t="n"/>
    </row>
    <row r="1270">
      <c r="A1270" s="16">
        <f>IF($B1270="","",COUNTA($B$4:$B1270))</f>
        <v/>
      </c>
      <c r="B1270" s="71" t="n"/>
      <c r="C1270" s="44" t="n"/>
      <c r="D1270" s="45" t="n"/>
      <c r="E1270" s="45" t="n"/>
      <c r="F1270" s="45" t="n"/>
      <c r="G1270" s="45" t="n"/>
      <c r="H1270" s="45" t="n"/>
      <c r="I1270" s="45" t="n"/>
      <c r="J1270" s="38" t="n"/>
    </row>
    <row r="1271">
      <c r="A1271" s="16">
        <f>IF($B1271="","",COUNTA($B$4:$B1271))</f>
        <v/>
      </c>
      <c r="B1271" s="72" t="n"/>
      <c r="C1271" s="46" t="n"/>
      <c r="D1271" s="47" t="n"/>
      <c r="E1271" s="47" t="n"/>
      <c r="F1271" s="47" t="n"/>
      <c r="G1271" s="47" t="n"/>
      <c r="H1271" s="47" t="n"/>
      <c r="I1271" s="47" t="n"/>
      <c r="J1271" s="40" t="n"/>
    </row>
    <row r="1272">
      <c r="A1272" s="16">
        <f>IF($B1272="","",COUNTA($B$4:$B1272))</f>
        <v/>
      </c>
      <c r="B1272" s="71" t="n"/>
      <c r="C1272" s="44" t="n"/>
      <c r="D1272" s="45" t="n"/>
      <c r="E1272" s="45" t="n"/>
      <c r="F1272" s="45" t="n"/>
      <c r="G1272" s="45" t="n"/>
      <c r="H1272" s="45" t="n"/>
      <c r="I1272" s="45" t="n"/>
      <c r="J1272" s="38" t="n"/>
    </row>
    <row r="1273">
      <c r="A1273" s="16">
        <f>IF($B1273="","",COUNTA($B$4:$B1273))</f>
        <v/>
      </c>
      <c r="B1273" s="72" t="n"/>
      <c r="C1273" s="46" t="n"/>
      <c r="D1273" s="47" t="n"/>
      <c r="E1273" s="47" t="n"/>
      <c r="F1273" s="47" t="n"/>
      <c r="G1273" s="47" t="n"/>
      <c r="H1273" s="47" t="n"/>
      <c r="I1273" s="47" t="n"/>
      <c r="J1273" s="40" t="n"/>
    </row>
    <row r="1274">
      <c r="A1274" s="16">
        <f>IF($B1274="","",COUNTA($B$4:$B1274))</f>
        <v/>
      </c>
      <c r="B1274" s="71" t="n"/>
      <c r="C1274" s="44" t="n"/>
      <c r="D1274" s="45" t="n"/>
      <c r="E1274" s="45" t="n"/>
      <c r="F1274" s="45" t="n"/>
      <c r="G1274" s="45" t="n"/>
      <c r="H1274" s="45" t="n"/>
      <c r="I1274" s="45" t="n"/>
      <c r="J1274" s="38" t="n"/>
    </row>
    <row r="1275">
      <c r="A1275" s="16">
        <f>IF($B1275="","",COUNTA($B$4:$B1275))</f>
        <v/>
      </c>
      <c r="B1275" s="72" t="n"/>
      <c r="C1275" s="46" t="n"/>
      <c r="D1275" s="47" t="n"/>
      <c r="E1275" s="47" t="n"/>
      <c r="F1275" s="47" t="n"/>
      <c r="G1275" s="47" t="n"/>
      <c r="H1275" s="47" t="n"/>
      <c r="I1275" s="47" t="n"/>
      <c r="J1275" s="40" t="n"/>
    </row>
    <row r="1276">
      <c r="A1276" s="16">
        <f>IF($B1276="","",COUNTA($B$4:$B1276))</f>
        <v/>
      </c>
      <c r="B1276" s="71" t="n"/>
      <c r="C1276" s="44" t="n"/>
      <c r="D1276" s="45" t="n"/>
      <c r="E1276" s="45" t="n"/>
      <c r="F1276" s="45" t="n"/>
      <c r="G1276" s="45" t="n"/>
      <c r="H1276" s="45" t="n"/>
      <c r="I1276" s="45" t="n"/>
      <c r="J1276" s="38" t="n"/>
    </row>
    <row r="1277">
      <c r="A1277" s="16">
        <f>IF($B1277="","",COUNTA($B$4:$B1277))</f>
        <v/>
      </c>
      <c r="B1277" s="72" t="n"/>
      <c r="C1277" s="46" t="n"/>
      <c r="D1277" s="47" t="n"/>
      <c r="E1277" s="47" t="n"/>
      <c r="F1277" s="47" t="n"/>
      <c r="G1277" s="47" t="n"/>
      <c r="H1277" s="47" t="n"/>
      <c r="I1277" s="47" t="n"/>
      <c r="J1277" s="40" t="n"/>
    </row>
    <row r="1278">
      <c r="A1278" s="16">
        <f>IF($B1278="","",COUNTA($B$4:$B1278))</f>
        <v/>
      </c>
      <c r="B1278" s="71" t="n"/>
      <c r="C1278" s="44" t="n"/>
      <c r="D1278" s="45" t="n"/>
      <c r="E1278" s="45" t="n"/>
      <c r="F1278" s="45" t="n"/>
      <c r="G1278" s="45" t="n"/>
      <c r="H1278" s="45" t="n"/>
      <c r="I1278" s="45" t="n"/>
      <c r="J1278" s="38" t="n"/>
    </row>
    <row r="1279">
      <c r="A1279" s="16">
        <f>IF($B1279="","",COUNTA($B$4:$B1279))</f>
        <v/>
      </c>
      <c r="B1279" s="72" t="n"/>
      <c r="C1279" s="46" t="n"/>
      <c r="D1279" s="47" t="n"/>
      <c r="E1279" s="47" t="n"/>
      <c r="F1279" s="47" t="n"/>
      <c r="G1279" s="47" t="n"/>
      <c r="H1279" s="47" t="n"/>
      <c r="I1279" s="47" t="n"/>
      <c r="J1279" s="40" t="n"/>
    </row>
    <row r="1280">
      <c r="A1280" s="16">
        <f>IF($B1280="","",COUNTA($B$4:$B1280))</f>
        <v/>
      </c>
      <c r="B1280" s="71" t="n"/>
      <c r="C1280" s="44" t="n"/>
      <c r="D1280" s="45" t="n"/>
      <c r="E1280" s="45" t="n"/>
      <c r="F1280" s="45" t="n"/>
      <c r="G1280" s="45" t="n"/>
      <c r="H1280" s="45" t="n"/>
      <c r="I1280" s="45" t="n"/>
      <c r="J1280" s="38" t="n"/>
    </row>
    <row r="1281">
      <c r="A1281" s="16">
        <f>IF($B1281="","",COUNTA($B$4:$B1281))</f>
        <v/>
      </c>
      <c r="B1281" s="72" t="n"/>
      <c r="C1281" s="46" t="n"/>
      <c r="D1281" s="47" t="n"/>
      <c r="E1281" s="47" t="n"/>
      <c r="F1281" s="47" t="n"/>
      <c r="G1281" s="47" t="n"/>
      <c r="H1281" s="47" t="n"/>
      <c r="I1281" s="47" t="n"/>
      <c r="J1281" s="40" t="n"/>
    </row>
    <row r="1282">
      <c r="A1282" s="16">
        <f>IF($B1282="","",COUNTA($B$4:$B1282))</f>
        <v/>
      </c>
      <c r="B1282" s="71" t="n"/>
      <c r="C1282" s="44" t="n"/>
      <c r="D1282" s="45" t="n"/>
      <c r="E1282" s="45" t="n"/>
      <c r="F1282" s="45" t="n"/>
      <c r="G1282" s="45" t="n"/>
      <c r="H1282" s="45" t="n"/>
      <c r="I1282" s="45" t="n"/>
      <c r="J1282" s="38" t="n"/>
    </row>
    <row r="1283">
      <c r="A1283" s="16">
        <f>IF($B1283="","",COUNTA($B$4:$B1283))</f>
        <v/>
      </c>
      <c r="B1283" s="72" t="n"/>
      <c r="C1283" s="46" t="n"/>
      <c r="D1283" s="47" t="n"/>
      <c r="E1283" s="47" t="n"/>
      <c r="F1283" s="47" t="n"/>
      <c r="G1283" s="47" t="n"/>
      <c r="H1283" s="47" t="n"/>
      <c r="I1283" s="47" t="n"/>
      <c r="J1283" s="40" t="n"/>
    </row>
    <row r="1284">
      <c r="A1284" s="16">
        <f>IF($B1284="","",COUNTA($B$4:$B1284))</f>
        <v/>
      </c>
      <c r="B1284" s="71" t="n"/>
      <c r="C1284" s="44" t="n"/>
      <c r="D1284" s="45" t="n"/>
      <c r="E1284" s="45" t="n"/>
      <c r="F1284" s="45" t="n"/>
      <c r="G1284" s="45" t="n"/>
      <c r="H1284" s="45" t="n"/>
      <c r="I1284" s="45" t="n"/>
      <c r="J1284" s="38" t="n"/>
    </row>
    <row r="1285">
      <c r="A1285" s="16">
        <f>IF($B1285="","",COUNTA($B$4:$B1285))</f>
        <v/>
      </c>
      <c r="B1285" s="72" t="n"/>
      <c r="C1285" s="46" t="n"/>
      <c r="D1285" s="47" t="n"/>
      <c r="E1285" s="47" t="n"/>
      <c r="F1285" s="47" t="n"/>
      <c r="G1285" s="47" t="n"/>
      <c r="H1285" s="47" t="n"/>
      <c r="I1285" s="47" t="n"/>
      <c r="J1285" s="40" t="n"/>
    </row>
    <row r="1286">
      <c r="A1286" s="16">
        <f>IF($B1286="","",COUNTA($B$4:$B1286))</f>
        <v/>
      </c>
      <c r="B1286" s="71" t="n"/>
      <c r="C1286" s="44" t="n"/>
      <c r="D1286" s="45" t="n"/>
      <c r="E1286" s="45" t="n"/>
      <c r="F1286" s="45" t="n"/>
      <c r="G1286" s="45" t="n"/>
      <c r="H1286" s="45" t="n"/>
      <c r="I1286" s="45" t="n"/>
      <c r="J1286" s="38" t="n"/>
    </row>
    <row r="1287">
      <c r="A1287" s="16">
        <f>IF($B1287="","",COUNTA($B$4:$B1287))</f>
        <v/>
      </c>
      <c r="B1287" s="72" t="n"/>
      <c r="C1287" s="46" t="n"/>
      <c r="D1287" s="47" t="n"/>
      <c r="E1287" s="47" t="n"/>
      <c r="F1287" s="47" t="n"/>
      <c r="G1287" s="47" t="n"/>
      <c r="H1287" s="47" t="n"/>
      <c r="I1287" s="47" t="n"/>
      <c r="J1287" s="40" t="n"/>
    </row>
    <row r="1288">
      <c r="A1288" s="16">
        <f>IF($B1288="","",COUNTA($B$4:$B1288))</f>
        <v/>
      </c>
      <c r="B1288" s="71" t="n"/>
      <c r="C1288" s="44" t="n"/>
      <c r="D1288" s="45" t="n"/>
      <c r="E1288" s="45" t="n"/>
      <c r="F1288" s="45" t="n"/>
      <c r="G1288" s="45" t="n"/>
      <c r="H1288" s="45" t="n"/>
      <c r="I1288" s="45" t="n"/>
      <c r="J1288" s="38" t="n"/>
    </row>
    <row r="1289">
      <c r="A1289" s="16">
        <f>IF($B1289="","",COUNTA($B$4:$B1289))</f>
        <v/>
      </c>
      <c r="B1289" s="72" t="n"/>
      <c r="C1289" s="46" t="n"/>
      <c r="D1289" s="47" t="n"/>
      <c r="E1289" s="47" t="n"/>
      <c r="F1289" s="47" t="n"/>
      <c r="G1289" s="47" t="n"/>
      <c r="H1289" s="47" t="n"/>
      <c r="I1289" s="47" t="n"/>
      <c r="J1289" s="40" t="n"/>
    </row>
    <row r="1290">
      <c r="A1290" s="16">
        <f>IF($B1290="","",COUNTA($B$4:$B1290))</f>
        <v/>
      </c>
      <c r="B1290" s="71" t="n"/>
      <c r="C1290" s="44" t="n"/>
      <c r="D1290" s="45" t="n"/>
      <c r="E1290" s="45" t="n"/>
      <c r="F1290" s="45" t="n"/>
      <c r="G1290" s="45" t="n"/>
      <c r="H1290" s="45" t="n"/>
      <c r="I1290" s="45" t="n"/>
      <c r="J1290" s="38" t="n"/>
    </row>
    <row r="1291">
      <c r="A1291" s="16">
        <f>IF($B1291="","",COUNTA($B$4:$B1291))</f>
        <v/>
      </c>
      <c r="B1291" s="72" t="n"/>
      <c r="C1291" s="46" t="n"/>
      <c r="D1291" s="47" t="n"/>
      <c r="E1291" s="47" t="n"/>
      <c r="F1291" s="47" t="n"/>
      <c r="G1291" s="47" t="n"/>
      <c r="H1291" s="47" t="n"/>
      <c r="I1291" s="47" t="n"/>
      <c r="J1291" s="40" t="n"/>
    </row>
    <row r="1292">
      <c r="A1292" s="16">
        <f>IF($B1292="","",COUNTA($B$4:$B1292))</f>
        <v/>
      </c>
      <c r="B1292" s="71" t="n"/>
      <c r="C1292" s="44" t="n"/>
      <c r="D1292" s="45" t="n"/>
      <c r="E1292" s="45" t="n"/>
      <c r="F1292" s="45" t="n"/>
      <c r="G1292" s="45" t="n"/>
      <c r="H1292" s="45" t="n"/>
      <c r="I1292" s="45" t="n"/>
      <c r="J1292" s="38" t="n"/>
    </row>
    <row r="1293">
      <c r="A1293" s="16">
        <f>IF($B1293="","",COUNTA($B$4:$B1293))</f>
        <v/>
      </c>
      <c r="B1293" s="72" t="n"/>
      <c r="C1293" s="46" t="n"/>
      <c r="D1293" s="47" t="n"/>
      <c r="E1293" s="47" t="n"/>
      <c r="F1293" s="47" t="n"/>
      <c r="G1293" s="47" t="n"/>
      <c r="H1293" s="47" t="n"/>
      <c r="I1293" s="47" t="n"/>
      <c r="J1293" s="40" t="n"/>
    </row>
    <row r="1294">
      <c r="A1294" s="16">
        <f>IF($B1294="","",COUNTA($B$4:$B1294))</f>
        <v/>
      </c>
      <c r="B1294" s="71" t="n"/>
      <c r="C1294" s="44" t="n"/>
      <c r="D1294" s="45" t="n"/>
      <c r="E1294" s="45" t="n"/>
      <c r="F1294" s="45" t="n"/>
      <c r="G1294" s="45" t="n"/>
      <c r="H1294" s="45" t="n"/>
      <c r="I1294" s="45" t="n"/>
      <c r="J1294" s="38" t="n"/>
    </row>
    <row r="1295">
      <c r="A1295" s="16">
        <f>IF($B1295="","",COUNTA($B$4:$B1295))</f>
        <v/>
      </c>
      <c r="B1295" s="72" t="n"/>
      <c r="C1295" s="46" t="n"/>
      <c r="D1295" s="47" t="n"/>
      <c r="E1295" s="47" t="n"/>
      <c r="F1295" s="47" t="n"/>
      <c r="G1295" s="47" t="n"/>
      <c r="H1295" s="47" t="n"/>
      <c r="I1295" s="47" t="n"/>
      <c r="J1295" s="40" t="n"/>
    </row>
    <row r="1296">
      <c r="A1296" s="16">
        <f>IF($B1296="","",COUNTA($B$4:$B1296))</f>
        <v/>
      </c>
      <c r="B1296" s="71" t="n"/>
      <c r="C1296" s="44" t="n"/>
      <c r="D1296" s="45" t="n"/>
      <c r="E1296" s="45" t="n"/>
      <c r="F1296" s="45" t="n"/>
      <c r="G1296" s="45" t="n"/>
      <c r="H1296" s="45" t="n"/>
      <c r="I1296" s="45" t="n"/>
      <c r="J1296" s="38" t="n"/>
    </row>
    <row r="1297">
      <c r="A1297" s="16">
        <f>IF($B1297="","",COUNTA($B$4:$B1297))</f>
        <v/>
      </c>
      <c r="B1297" s="72" t="n"/>
      <c r="C1297" s="46" t="n"/>
      <c r="D1297" s="47" t="n"/>
      <c r="E1297" s="47" t="n"/>
      <c r="F1297" s="47" t="n"/>
      <c r="G1297" s="47" t="n"/>
      <c r="H1297" s="47" t="n"/>
      <c r="I1297" s="47" t="n"/>
      <c r="J1297" s="40" t="n"/>
    </row>
    <row r="1298">
      <c r="A1298" s="16">
        <f>IF($B1298="","",COUNTA($B$4:$B1298))</f>
        <v/>
      </c>
      <c r="B1298" s="71" t="n"/>
      <c r="C1298" s="44" t="n"/>
      <c r="D1298" s="45" t="n"/>
      <c r="E1298" s="45" t="n"/>
      <c r="F1298" s="45" t="n"/>
      <c r="G1298" s="45" t="n"/>
      <c r="H1298" s="45" t="n"/>
      <c r="I1298" s="45" t="n"/>
      <c r="J1298" s="38" t="n"/>
    </row>
    <row r="1299">
      <c r="A1299" s="16">
        <f>IF($B1299="","",COUNTA($B$4:$B1299))</f>
        <v/>
      </c>
      <c r="B1299" s="72" t="n"/>
      <c r="C1299" s="46" t="n"/>
      <c r="D1299" s="47" t="n"/>
      <c r="E1299" s="47" t="n"/>
      <c r="F1299" s="47" t="n"/>
      <c r="G1299" s="47" t="n"/>
      <c r="H1299" s="47" t="n"/>
      <c r="I1299" s="47" t="n"/>
      <c r="J1299" s="40" t="n"/>
    </row>
    <row r="1300">
      <c r="A1300" s="16">
        <f>IF($B1300="","",COUNTA($B$4:$B1300))</f>
        <v/>
      </c>
      <c r="B1300" s="71" t="n"/>
      <c r="C1300" s="44" t="n"/>
      <c r="D1300" s="45" t="n"/>
      <c r="E1300" s="45" t="n"/>
      <c r="F1300" s="45" t="n"/>
      <c r="G1300" s="45" t="n"/>
      <c r="H1300" s="45" t="n"/>
      <c r="I1300" s="45" t="n"/>
      <c r="J1300" s="38" t="n"/>
    </row>
    <row r="1301">
      <c r="A1301" s="16">
        <f>IF($B1301="","",COUNTA($B$4:$B1301))</f>
        <v/>
      </c>
      <c r="B1301" s="72" t="n"/>
      <c r="C1301" s="46" t="n"/>
      <c r="D1301" s="47" t="n"/>
      <c r="E1301" s="47" t="n"/>
      <c r="F1301" s="47" t="n"/>
      <c r="G1301" s="47" t="n"/>
      <c r="H1301" s="47" t="n"/>
      <c r="I1301" s="47" t="n"/>
      <c r="J1301" s="40" t="n"/>
    </row>
    <row r="1302">
      <c r="A1302" s="16">
        <f>IF($B1302="","",COUNTA($B$4:$B1302))</f>
        <v/>
      </c>
      <c r="B1302" s="71" t="n"/>
      <c r="C1302" s="44" t="n"/>
      <c r="D1302" s="45" t="n"/>
      <c r="E1302" s="45" t="n"/>
      <c r="F1302" s="45" t="n"/>
      <c r="G1302" s="45" t="n"/>
      <c r="H1302" s="45" t="n"/>
      <c r="I1302" s="45" t="n"/>
      <c r="J1302" s="38" t="n"/>
    </row>
    <row r="1303">
      <c r="A1303" s="16">
        <f>IF($B1303="","",COUNTA($B$4:$B1303))</f>
        <v/>
      </c>
      <c r="B1303" s="72" t="n"/>
      <c r="C1303" s="46" t="n"/>
      <c r="D1303" s="47" t="n"/>
      <c r="E1303" s="47" t="n"/>
      <c r="F1303" s="47" t="n"/>
      <c r="G1303" s="47" t="n"/>
      <c r="H1303" s="47" t="n"/>
      <c r="I1303" s="47" t="n"/>
      <c r="J1303" s="40" t="n"/>
    </row>
    <row r="1304">
      <c r="A1304" s="16">
        <f>IF($B1304="","",COUNTA($B$4:$B1304))</f>
        <v/>
      </c>
      <c r="B1304" s="71" t="n"/>
      <c r="C1304" s="44" t="n"/>
      <c r="D1304" s="45" t="n"/>
      <c r="E1304" s="45" t="n"/>
      <c r="F1304" s="45" t="n"/>
      <c r="G1304" s="45" t="n"/>
      <c r="H1304" s="45" t="n"/>
      <c r="I1304" s="45" t="n"/>
      <c r="J1304" s="38" t="n"/>
    </row>
    <row r="1305">
      <c r="A1305" s="16">
        <f>IF($B1305="","",COUNTA($B$4:$B1305))</f>
        <v/>
      </c>
      <c r="B1305" s="72" t="n"/>
      <c r="C1305" s="46" t="n"/>
      <c r="D1305" s="47" t="n"/>
      <c r="E1305" s="47" t="n"/>
      <c r="F1305" s="47" t="n"/>
      <c r="G1305" s="47" t="n"/>
      <c r="H1305" s="47" t="n"/>
      <c r="I1305" s="47" t="n"/>
      <c r="J1305" s="40" t="n"/>
    </row>
    <row r="1306">
      <c r="A1306" s="16">
        <f>IF($B1306="","",COUNTA($B$4:$B1306))</f>
        <v/>
      </c>
      <c r="B1306" s="71" t="n"/>
      <c r="C1306" s="44" t="n"/>
      <c r="D1306" s="45" t="n"/>
      <c r="E1306" s="45" t="n"/>
      <c r="F1306" s="45" t="n"/>
      <c r="G1306" s="45" t="n"/>
      <c r="H1306" s="45" t="n"/>
      <c r="I1306" s="45" t="n"/>
      <c r="J1306" s="38" t="n"/>
    </row>
    <row r="1307">
      <c r="A1307" s="16">
        <f>IF($B1307="","",COUNTA($B$4:$B1307))</f>
        <v/>
      </c>
      <c r="B1307" s="72" t="n"/>
      <c r="C1307" s="46" t="n"/>
      <c r="D1307" s="47" t="n"/>
      <c r="E1307" s="47" t="n"/>
      <c r="F1307" s="47" t="n"/>
      <c r="G1307" s="47" t="n"/>
      <c r="H1307" s="47" t="n"/>
      <c r="I1307" s="47" t="n"/>
      <c r="J1307" s="40" t="n"/>
    </row>
    <row r="1308">
      <c r="A1308" s="16">
        <f>IF($B1308="","",COUNTA($B$4:$B1308))</f>
        <v/>
      </c>
      <c r="B1308" s="71" t="n"/>
      <c r="C1308" s="44" t="n"/>
      <c r="D1308" s="45" t="n"/>
      <c r="E1308" s="45" t="n"/>
      <c r="F1308" s="45" t="n"/>
      <c r="G1308" s="45" t="n"/>
      <c r="H1308" s="45" t="n"/>
      <c r="I1308" s="45" t="n"/>
      <c r="J1308" s="38" t="n"/>
    </row>
    <row r="1309">
      <c r="A1309" s="16">
        <f>IF($B1309="","",COUNTA($B$4:$B1309))</f>
        <v/>
      </c>
      <c r="B1309" s="72" t="n"/>
      <c r="C1309" s="46" t="n"/>
      <c r="D1309" s="47" t="n"/>
      <c r="E1309" s="47" t="n"/>
      <c r="F1309" s="47" t="n"/>
      <c r="G1309" s="47" t="n"/>
      <c r="H1309" s="47" t="n"/>
      <c r="I1309" s="47" t="n"/>
      <c r="J1309" s="40" t="n"/>
    </row>
    <row r="1310">
      <c r="A1310" s="16">
        <f>IF($B1310="","",COUNTA($B$4:$B1310))</f>
        <v/>
      </c>
      <c r="B1310" s="71" t="n"/>
      <c r="C1310" s="44" t="n"/>
      <c r="D1310" s="45" t="n"/>
      <c r="E1310" s="45" t="n"/>
      <c r="F1310" s="45" t="n"/>
      <c r="G1310" s="45" t="n"/>
      <c r="H1310" s="45" t="n"/>
      <c r="I1310" s="45" t="n"/>
      <c r="J1310" s="38" t="n"/>
    </row>
    <row r="1311">
      <c r="A1311" s="16">
        <f>IF($B1311="","",COUNTA($B$4:$B1311))</f>
        <v/>
      </c>
      <c r="B1311" s="72" t="n"/>
      <c r="C1311" s="46" t="n"/>
      <c r="D1311" s="47" t="n"/>
      <c r="E1311" s="47" t="n"/>
      <c r="F1311" s="47" t="n"/>
      <c r="G1311" s="47" t="n"/>
      <c r="H1311" s="47" t="n"/>
      <c r="I1311" s="47" t="n"/>
      <c r="J1311" s="40" t="n"/>
    </row>
    <row r="1312">
      <c r="A1312" s="16">
        <f>IF($B1312="","",COUNTA($B$4:$B1312))</f>
        <v/>
      </c>
      <c r="B1312" s="71" t="n"/>
      <c r="C1312" s="44" t="n"/>
      <c r="D1312" s="45" t="n"/>
      <c r="E1312" s="45" t="n"/>
      <c r="F1312" s="45" t="n"/>
      <c r="G1312" s="45" t="n"/>
      <c r="H1312" s="45" t="n"/>
      <c r="I1312" s="45" t="n"/>
      <c r="J1312" s="38" t="n"/>
    </row>
    <row r="1313">
      <c r="A1313" s="16">
        <f>IF($B1313="","",COUNTA($B$4:$B1313))</f>
        <v/>
      </c>
      <c r="B1313" s="72" t="n"/>
      <c r="C1313" s="46" t="n"/>
      <c r="D1313" s="47" t="n"/>
      <c r="E1313" s="47" t="n"/>
      <c r="F1313" s="47" t="n"/>
      <c r="G1313" s="47" t="n"/>
      <c r="H1313" s="47" t="n"/>
      <c r="I1313" s="47" t="n"/>
      <c r="J1313" s="40" t="n"/>
    </row>
    <row r="1314">
      <c r="A1314" s="16">
        <f>IF($B1314="","",COUNTA($B$4:$B1314))</f>
        <v/>
      </c>
      <c r="B1314" s="71" t="n"/>
      <c r="C1314" s="44" t="n"/>
      <c r="D1314" s="45" t="n"/>
      <c r="E1314" s="45" t="n"/>
      <c r="F1314" s="45" t="n"/>
      <c r="G1314" s="45" t="n"/>
      <c r="H1314" s="45" t="n"/>
      <c r="I1314" s="45" t="n"/>
      <c r="J1314" s="38" t="n"/>
    </row>
    <row r="1315">
      <c r="A1315" s="16">
        <f>IF($B1315="","",COUNTA($B$4:$B1315))</f>
        <v/>
      </c>
      <c r="B1315" s="72" t="n"/>
      <c r="C1315" s="46" t="n"/>
      <c r="D1315" s="47" t="n"/>
      <c r="E1315" s="47" t="n"/>
      <c r="F1315" s="47" t="n"/>
      <c r="G1315" s="47" t="n"/>
      <c r="H1315" s="47" t="n"/>
      <c r="I1315" s="47" t="n"/>
      <c r="J1315" s="40" t="n"/>
    </row>
    <row r="1316">
      <c r="A1316" s="16">
        <f>IF($B1316="","",COUNTA($B$4:$B1316))</f>
        <v/>
      </c>
      <c r="B1316" s="71" t="n"/>
      <c r="C1316" s="44" t="n"/>
      <c r="D1316" s="45" t="n"/>
      <c r="E1316" s="45" t="n"/>
      <c r="F1316" s="45" t="n"/>
      <c r="G1316" s="45" t="n"/>
      <c r="H1316" s="45" t="n"/>
      <c r="I1316" s="45" t="n"/>
      <c r="J1316" s="38" t="n"/>
    </row>
    <row r="1317">
      <c r="A1317" s="16">
        <f>IF($B1317="","",COUNTA($B$4:$B1317))</f>
        <v/>
      </c>
      <c r="B1317" s="72" t="n"/>
      <c r="C1317" s="46" t="n"/>
      <c r="D1317" s="47" t="n"/>
      <c r="E1317" s="47" t="n"/>
      <c r="F1317" s="47" t="n"/>
      <c r="G1317" s="47" t="n"/>
      <c r="H1317" s="47" t="n"/>
      <c r="I1317" s="47" t="n"/>
      <c r="J1317" s="40" t="n"/>
    </row>
    <row r="1318">
      <c r="A1318" s="16">
        <f>IF($B1318="","",COUNTA($B$4:$B1318))</f>
        <v/>
      </c>
      <c r="B1318" s="71" t="n"/>
      <c r="C1318" s="44" t="n"/>
      <c r="D1318" s="45" t="n"/>
      <c r="E1318" s="45" t="n"/>
      <c r="F1318" s="45" t="n"/>
      <c r="G1318" s="45" t="n"/>
      <c r="H1318" s="45" t="n"/>
      <c r="I1318" s="45" t="n"/>
      <c r="J1318" s="38" t="n"/>
    </row>
    <row r="1319">
      <c r="A1319" s="16">
        <f>IF($B1319="","",COUNTA($B$4:$B1319))</f>
        <v/>
      </c>
      <c r="B1319" s="72" t="n"/>
      <c r="C1319" s="46" t="n"/>
      <c r="D1319" s="47" t="n"/>
      <c r="E1319" s="47" t="n"/>
      <c r="F1319" s="47" t="n"/>
      <c r="G1319" s="47" t="n"/>
      <c r="H1319" s="47" t="n"/>
      <c r="I1319" s="47" t="n"/>
      <c r="J1319" s="40" t="n"/>
    </row>
    <row r="1320">
      <c r="A1320" s="16">
        <f>IF($B1320="","",COUNTA($B$4:$B1320))</f>
        <v/>
      </c>
      <c r="B1320" s="71" t="n"/>
      <c r="C1320" s="44" t="n"/>
      <c r="D1320" s="45" t="n"/>
      <c r="E1320" s="45" t="n"/>
      <c r="F1320" s="45" t="n"/>
      <c r="G1320" s="45" t="n"/>
      <c r="H1320" s="45" t="n"/>
      <c r="I1320" s="45" t="n"/>
      <c r="J1320" s="38" t="n"/>
    </row>
    <row r="1321">
      <c r="A1321" s="16">
        <f>IF($B1321="","",COUNTA($B$4:$B1321))</f>
        <v/>
      </c>
      <c r="B1321" s="72" t="n"/>
      <c r="C1321" s="46" t="n"/>
      <c r="D1321" s="47" t="n"/>
      <c r="E1321" s="47" t="n"/>
      <c r="F1321" s="47" t="n"/>
      <c r="G1321" s="47" t="n"/>
      <c r="H1321" s="47" t="n"/>
      <c r="I1321" s="47" t="n"/>
      <c r="J1321" s="40" t="n"/>
    </row>
    <row r="1322">
      <c r="A1322" s="16">
        <f>IF($B1322="","",COUNTA($B$4:$B1322))</f>
        <v/>
      </c>
      <c r="B1322" s="71" t="n"/>
      <c r="C1322" s="44" t="n"/>
      <c r="D1322" s="45" t="n"/>
      <c r="E1322" s="45" t="n"/>
      <c r="F1322" s="45" t="n"/>
      <c r="G1322" s="45" t="n"/>
      <c r="H1322" s="45" t="n"/>
      <c r="I1322" s="45" t="n"/>
      <c r="J1322" s="38" t="n"/>
    </row>
    <row r="1323">
      <c r="A1323" s="16">
        <f>IF($B1323="","",COUNTA($B$4:$B1323))</f>
        <v/>
      </c>
      <c r="B1323" s="72" t="n"/>
      <c r="C1323" s="46" t="n"/>
      <c r="D1323" s="47" t="n"/>
      <c r="E1323" s="47" t="n"/>
      <c r="F1323" s="47" t="n"/>
      <c r="G1323" s="47" t="n"/>
      <c r="H1323" s="47" t="n"/>
      <c r="I1323" s="47" t="n"/>
      <c r="J1323" s="40" t="n"/>
    </row>
    <row r="1324">
      <c r="A1324" s="16">
        <f>IF($B1324="","",COUNTA($B$4:$B1324))</f>
        <v/>
      </c>
      <c r="B1324" s="71" t="n"/>
      <c r="C1324" s="44" t="n"/>
      <c r="D1324" s="45" t="n"/>
      <c r="E1324" s="45" t="n"/>
      <c r="F1324" s="45" t="n"/>
      <c r="G1324" s="45" t="n"/>
      <c r="H1324" s="45" t="n"/>
      <c r="I1324" s="45" t="n"/>
      <c r="J1324" s="38" t="n"/>
    </row>
    <row r="1325">
      <c r="A1325" s="16">
        <f>IF($B1325="","",COUNTA($B$4:$B1325))</f>
        <v/>
      </c>
      <c r="B1325" s="72" t="n"/>
      <c r="C1325" s="46" t="n"/>
      <c r="D1325" s="47" t="n"/>
      <c r="E1325" s="47" t="n"/>
      <c r="F1325" s="47" t="n"/>
      <c r="G1325" s="47" t="n"/>
      <c r="H1325" s="47" t="n"/>
      <c r="I1325" s="47" t="n"/>
      <c r="J1325" s="40" t="n"/>
    </row>
    <row r="1326">
      <c r="A1326" s="16">
        <f>IF($B1326="","",COUNTA($B$4:$B1326))</f>
        <v/>
      </c>
      <c r="B1326" s="71" t="n"/>
      <c r="C1326" s="44" t="n"/>
      <c r="D1326" s="45" t="n"/>
      <c r="E1326" s="45" t="n"/>
      <c r="F1326" s="45" t="n"/>
      <c r="G1326" s="45" t="n"/>
      <c r="H1326" s="45" t="n"/>
      <c r="I1326" s="45" t="n"/>
      <c r="J1326" s="38" t="n"/>
    </row>
    <row r="1327">
      <c r="A1327" s="16">
        <f>IF($B1327="","",COUNTA($B$4:$B1327))</f>
        <v/>
      </c>
      <c r="B1327" s="72" t="n"/>
      <c r="C1327" s="46" t="n"/>
      <c r="D1327" s="47" t="n"/>
      <c r="E1327" s="47" t="n"/>
      <c r="F1327" s="47" t="n"/>
      <c r="G1327" s="47" t="n"/>
      <c r="H1327" s="47" t="n"/>
      <c r="I1327" s="47" t="n"/>
      <c r="J1327" s="40" t="n"/>
    </row>
    <row r="1328">
      <c r="A1328" s="16">
        <f>IF($B1328="","",COUNTA($B$4:$B1328))</f>
        <v/>
      </c>
      <c r="B1328" s="71" t="n"/>
      <c r="C1328" s="44" t="n"/>
      <c r="D1328" s="45" t="n"/>
      <c r="E1328" s="45" t="n"/>
      <c r="F1328" s="45" t="n"/>
      <c r="G1328" s="45" t="n"/>
      <c r="H1328" s="45" t="n"/>
      <c r="I1328" s="45" t="n"/>
      <c r="J1328" s="38" t="n"/>
    </row>
    <row r="1329">
      <c r="A1329" s="16">
        <f>IF($B1329="","",COUNTA($B$4:$B1329))</f>
        <v/>
      </c>
      <c r="B1329" s="72" t="n"/>
      <c r="C1329" s="46" t="n"/>
      <c r="D1329" s="47" t="n"/>
      <c r="E1329" s="47" t="n"/>
      <c r="F1329" s="47" t="n"/>
      <c r="G1329" s="47" t="n"/>
      <c r="H1329" s="47" t="n"/>
      <c r="I1329" s="47" t="n"/>
      <c r="J1329" s="40" t="n"/>
    </row>
    <row r="1330">
      <c r="A1330" s="16">
        <f>IF($B1330="","",COUNTA($B$4:$B1330))</f>
        <v/>
      </c>
      <c r="B1330" s="71" t="n"/>
      <c r="C1330" s="44" t="n"/>
      <c r="D1330" s="45" t="n"/>
      <c r="E1330" s="45" t="n"/>
      <c r="F1330" s="45" t="n"/>
      <c r="G1330" s="45" t="n"/>
      <c r="H1330" s="45" t="n"/>
      <c r="I1330" s="45" t="n"/>
      <c r="J1330" s="38" t="n"/>
    </row>
    <row r="1331">
      <c r="A1331" s="16">
        <f>IF($B1331="","",COUNTA($B$4:$B1331))</f>
        <v/>
      </c>
      <c r="B1331" s="72" t="n"/>
      <c r="C1331" s="46" t="n"/>
      <c r="D1331" s="47" t="n"/>
      <c r="E1331" s="47" t="n"/>
      <c r="F1331" s="47" t="n"/>
      <c r="G1331" s="47" t="n"/>
      <c r="H1331" s="47" t="n"/>
      <c r="I1331" s="47" t="n"/>
      <c r="J1331" s="40" t="n"/>
    </row>
    <row r="1332">
      <c r="A1332" s="16">
        <f>IF($B1332="","",COUNTA($B$4:$B1332))</f>
        <v/>
      </c>
      <c r="B1332" s="71" t="n"/>
      <c r="C1332" s="44" t="n"/>
      <c r="D1332" s="45" t="n"/>
      <c r="E1332" s="45" t="n"/>
      <c r="F1332" s="45" t="n"/>
      <c r="G1332" s="45" t="n"/>
      <c r="H1332" s="45" t="n"/>
      <c r="I1332" s="45" t="n"/>
      <c r="J1332" s="38" t="n"/>
    </row>
    <row r="1333">
      <c r="A1333" s="16">
        <f>IF($B1333="","",COUNTA($B$4:$B1333))</f>
        <v/>
      </c>
      <c r="B1333" s="72" t="n"/>
      <c r="C1333" s="46" t="n"/>
      <c r="D1333" s="47" t="n"/>
      <c r="E1333" s="47" t="n"/>
      <c r="F1333" s="47" t="n"/>
      <c r="G1333" s="47" t="n"/>
      <c r="H1333" s="47" t="n"/>
      <c r="I1333" s="47" t="n"/>
      <c r="J1333" s="40" t="n"/>
    </row>
    <row r="1334">
      <c r="A1334" s="16">
        <f>IF($B1334="","",COUNTA($B$4:$B1334))</f>
        <v/>
      </c>
      <c r="B1334" s="71" t="n"/>
      <c r="C1334" s="44" t="n"/>
      <c r="D1334" s="45" t="n"/>
      <c r="E1334" s="45" t="n"/>
      <c r="F1334" s="45" t="n"/>
      <c r="G1334" s="45" t="n"/>
      <c r="H1334" s="45" t="n"/>
      <c r="I1334" s="45" t="n"/>
      <c r="J1334" s="38" t="n"/>
    </row>
    <row r="1335">
      <c r="A1335" s="16">
        <f>IF($B1335="","",COUNTA($B$4:$B1335))</f>
        <v/>
      </c>
      <c r="B1335" s="72" t="n"/>
      <c r="C1335" s="46" t="n"/>
      <c r="D1335" s="47" t="n"/>
      <c r="E1335" s="47" t="n"/>
      <c r="F1335" s="47" t="n"/>
      <c r="G1335" s="47" t="n"/>
      <c r="H1335" s="47" t="n"/>
      <c r="I1335" s="47" t="n"/>
      <c r="J1335" s="40" t="n"/>
    </row>
    <row r="1336">
      <c r="A1336" s="16">
        <f>IF($B1336="","",COUNTA($B$4:$B1336))</f>
        <v/>
      </c>
      <c r="B1336" s="71" t="n"/>
      <c r="C1336" s="44" t="n"/>
      <c r="D1336" s="45" t="n"/>
      <c r="E1336" s="45" t="n"/>
      <c r="F1336" s="45" t="n"/>
      <c r="G1336" s="45" t="n"/>
      <c r="H1336" s="45" t="n"/>
      <c r="I1336" s="45" t="n"/>
      <c r="J1336" s="38" t="n"/>
    </row>
    <row r="1337">
      <c r="A1337" s="16">
        <f>IF($B1337="","",COUNTA($B$4:$B1337))</f>
        <v/>
      </c>
      <c r="B1337" s="72" t="n"/>
      <c r="C1337" s="46" t="n"/>
      <c r="D1337" s="47" t="n"/>
      <c r="E1337" s="47" t="n"/>
      <c r="F1337" s="47" t="n"/>
      <c r="G1337" s="47" t="n"/>
      <c r="H1337" s="47" t="n"/>
      <c r="I1337" s="47" t="n"/>
      <c r="J1337" s="40" t="n"/>
    </row>
    <row r="1338">
      <c r="A1338" s="16">
        <f>IF($B1338="","",COUNTA($B$4:$B1338))</f>
        <v/>
      </c>
      <c r="B1338" s="71" t="n"/>
      <c r="C1338" s="44" t="n"/>
      <c r="D1338" s="45" t="n"/>
      <c r="E1338" s="45" t="n"/>
      <c r="F1338" s="45" t="n"/>
      <c r="G1338" s="45" t="n"/>
      <c r="H1338" s="45" t="n"/>
      <c r="I1338" s="45" t="n"/>
      <c r="J1338" s="38" t="n"/>
    </row>
    <row r="1339">
      <c r="A1339" s="16">
        <f>IF($B1339="","",COUNTA($B$4:$B1339))</f>
        <v/>
      </c>
      <c r="B1339" s="72" t="n"/>
      <c r="C1339" s="46" t="n"/>
      <c r="D1339" s="47" t="n"/>
      <c r="E1339" s="47" t="n"/>
      <c r="F1339" s="47" t="n"/>
      <c r="G1339" s="47" t="n"/>
      <c r="H1339" s="47" t="n"/>
      <c r="I1339" s="47" t="n"/>
      <c r="J1339" s="40" t="n"/>
    </row>
    <row r="1340">
      <c r="A1340" s="16">
        <f>IF($B1340="","",COUNTA($B$4:$B1340))</f>
        <v/>
      </c>
      <c r="B1340" s="71" t="n"/>
      <c r="C1340" s="44" t="n"/>
      <c r="D1340" s="45" t="n"/>
      <c r="E1340" s="45" t="n"/>
      <c r="F1340" s="45" t="n"/>
      <c r="G1340" s="45" t="n"/>
      <c r="H1340" s="45" t="n"/>
      <c r="I1340" s="45" t="n"/>
      <c r="J1340" s="38" t="n"/>
    </row>
    <row r="1341">
      <c r="A1341" s="16">
        <f>IF($B1341="","",COUNTA($B$4:$B1341))</f>
        <v/>
      </c>
      <c r="B1341" s="72" t="n"/>
      <c r="C1341" s="46" t="n"/>
      <c r="D1341" s="47" t="n"/>
      <c r="E1341" s="47" t="n"/>
      <c r="F1341" s="47" t="n"/>
      <c r="G1341" s="47" t="n"/>
      <c r="H1341" s="47" t="n"/>
      <c r="I1341" s="47" t="n"/>
      <c r="J1341" s="40" t="n"/>
    </row>
    <row r="1342">
      <c r="A1342" s="16">
        <f>IF($B1342="","",COUNTA($B$4:$B1342))</f>
        <v/>
      </c>
      <c r="B1342" s="71" t="n"/>
      <c r="C1342" s="44" t="n"/>
      <c r="D1342" s="45" t="n"/>
      <c r="E1342" s="45" t="n"/>
      <c r="F1342" s="45" t="n"/>
      <c r="G1342" s="45" t="n"/>
      <c r="H1342" s="45" t="n"/>
      <c r="I1342" s="45" t="n"/>
      <c r="J1342" s="38" t="n"/>
    </row>
    <row r="1343">
      <c r="A1343" s="16">
        <f>IF($B1343="","",COUNTA($B$4:$B1343))</f>
        <v/>
      </c>
      <c r="B1343" s="72" t="n"/>
      <c r="C1343" s="46" t="n"/>
      <c r="D1343" s="47" t="n"/>
      <c r="E1343" s="47" t="n"/>
      <c r="F1343" s="47" t="n"/>
      <c r="G1343" s="47" t="n"/>
      <c r="H1343" s="47" t="n"/>
      <c r="I1343" s="47" t="n"/>
      <c r="J1343" s="40" t="n"/>
    </row>
    <row r="1344">
      <c r="A1344" s="16">
        <f>IF($B1344="","",COUNTA($B$4:$B1344))</f>
        <v/>
      </c>
      <c r="B1344" s="71" t="n"/>
      <c r="C1344" s="44" t="n"/>
      <c r="D1344" s="45" t="n"/>
      <c r="E1344" s="45" t="n"/>
      <c r="F1344" s="45" t="n"/>
      <c r="G1344" s="45" t="n"/>
      <c r="H1344" s="45" t="n"/>
      <c r="I1344" s="45" t="n"/>
      <c r="J1344" s="38" t="n"/>
    </row>
    <row r="1345">
      <c r="A1345" s="16">
        <f>IF($B1345="","",COUNTA($B$4:$B1345))</f>
        <v/>
      </c>
      <c r="B1345" s="72" t="n"/>
      <c r="C1345" s="46" t="n"/>
      <c r="D1345" s="47" t="n"/>
      <c r="E1345" s="47" t="n"/>
      <c r="F1345" s="47" t="n"/>
      <c r="G1345" s="47" t="n"/>
      <c r="H1345" s="47" t="n"/>
      <c r="I1345" s="47" t="n"/>
      <c r="J1345" s="40" t="n"/>
    </row>
    <row r="1346">
      <c r="A1346" s="16">
        <f>IF($B1346="","",COUNTA($B$4:$B1346))</f>
        <v/>
      </c>
      <c r="B1346" s="71" t="n"/>
      <c r="C1346" s="44" t="n"/>
      <c r="D1346" s="45" t="n"/>
      <c r="E1346" s="45" t="n"/>
      <c r="F1346" s="45" t="n"/>
      <c r="G1346" s="45" t="n"/>
      <c r="H1346" s="45" t="n"/>
      <c r="I1346" s="45" t="n"/>
      <c r="J1346" s="38" t="n"/>
    </row>
    <row r="1347">
      <c r="A1347" s="16">
        <f>IF($B1347="","",COUNTA($B$4:$B1347))</f>
        <v/>
      </c>
      <c r="B1347" s="72" t="n"/>
      <c r="C1347" s="46" t="n"/>
      <c r="D1347" s="47" t="n"/>
      <c r="E1347" s="47" t="n"/>
      <c r="F1347" s="47" t="n"/>
      <c r="G1347" s="47" t="n"/>
      <c r="H1347" s="47" t="n"/>
      <c r="I1347" s="47" t="n"/>
      <c r="J1347" s="40" t="n"/>
    </row>
    <row r="1348">
      <c r="A1348" s="16">
        <f>IF($B1348="","",COUNTA($B$4:$B1348))</f>
        <v/>
      </c>
      <c r="B1348" s="71" t="n"/>
      <c r="C1348" s="44" t="n"/>
      <c r="D1348" s="45" t="n"/>
      <c r="E1348" s="45" t="n"/>
      <c r="F1348" s="45" t="n"/>
      <c r="G1348" s="45" t="n"/>
      <c r="H1348" s="45" t="n"/>
      <c r="I1348" s="45" t="n"/>
      <c r="J1348" s="38" t="n"/>
    </row>
    <row r="1349">
      <c r="A1349" s="16">
        <f>IF($B1349="","",COUNTA($B$4:$B1349))</f>
        <v/>
      </c>
      <c r="B1349" s="72" t="n"/>
      <c r="C1349" s="46" t="n"/>
      <c r="D1349" s="47" t="n"/>
      <c r="E1349" s="47" t="n"/>
      <c r="F1349" s="47" t="n"/>
      <c r="G1349" s="47" t="n"/>
      <c r="H1349" s="47" t="n"/>
      <c r="I1349" s="47" t="n"/>
      <c r="J1349" s="40" t="n"/>
    </row>
    <row r="1350">
      <c r="A1350" s="16">
        <f>IF($B1350="","",COUNTA($B$4:$B1350))</f>
        <v/>
      </c>
      <c r="B1350" s="71" t="n"/>
      <c r="C1350" s="44" t="n"/>
      <c r="D1350" s="45" t="n"/>
      <c r="E1350" s="45" t="n"/>
      <c r="F1350" s="45" t="n"/>
      <c r="G1350" s="45" t="n"/>
      <c r="H1350" s="45" t="n"/>
      <c r="I1350" s="45" t="n"/>
      <c r="J1350" s="38" t="n"/>
    </row>
    <row r="1351">
      <c r="A1351" s="16">
        <f>IF($B1351="","",COUNTA($B$4:$B1351))</f>
        <v/>
      </c>
      <c r="B1351" s="72" t="n"/>
      <c r="C1351" s="46" t="n"/>
      <c r="D1351" s="47" t="n"/>
      <c r="E1351" s="47" t="n"/>
      <c r="F1351" s="47" t="n"/>
      <c r="G1351" s="47" t="n"/>
      <c r="H1351" s="47" t="n"/>
      <c r="I1351" s="47" t="n"/>
      <c r="J1351" s="40" t="n"/>
    </row>
    <row r="1352">
      <c r="A1352" s="16">
        <f>IF($B1352="","",COUNTA($B$4:$B1352))</f>
        <v/>
      </c>
      <c r="B1352" s="71" t="n"/>
      <c r="C1352" s="44" t="n"/>
      <c r="D1352" s="45" t="n"/>
      <c r="E1352" s="45" t="n"/>
      <c r="F1352" s="45" t="n"/>
      <c r="G1352" s="45" t="n"/>
      <c r="H1352" s="45" t="n"/>
      <c r="I1352" s="45" t="n"/>
      <c r="J1352" s="38" t="n"/>
    </row>
    <row r="1353">
      <c r="A1353" s="16">
        <f>IF($B1353="","",COUNTA($B$4:$B1353))</f>
        <v/>
      </c>
      <c r="B1353" s="72" t="n"/>
      <c r="C1353" s="46" t="n"/>
      <c r="D1353" s="47" t="n"/>
      <c r="E1353" s="47" t="n"/>
      <c r="F1353" s="47" t="n"/>
      <c r="G1353" s="47" t="n"/>
      <c r="H1353" s="47" t="n"/>
      <c r="I1353" s="47" t="n"/>
      <c r="J1353" s="40" t="n"/>
    </row>
    <row r="1354">
      <c r="A1354" s="16">
        <f>IF($B1354="","",COUNTA($B$4:$B1354))</f>
        <v/>
      </c>
      <c r="B1354" s="71" t="n"/>
      <c r="C1354" s="44" t="n"/>
      <c r="D1354" s="45" t="n"/>
      <c r="E1354" s="45" t="n"/>
      <c r="F1354" s="45" t="n"/>
      <c r="G1354" s="45" t="n"/>
      <c r="H1354" s="45" t="n"/>
      <c r="I1354" s="45" t="n"/>
      <c r="J1354" s="38" t="n"/>
    </row>
    <row r="1355">
      <c r="A1355" s="16">
        <f>IF($B1355="","",COUNTA($B$4:$B1355))</f>
        <v/>
      </c>
      <c r="B1355" s="72" t="n"/>
      <c r="C1355" s="46" t="n"/>
      <c r="D1355" s="47" t="n"/>
      <c r="E1355" s="47" t="n"/>
      <c r="F1355" s="47" t="n"/>
      <c r="G1355" s="47" t="n"/>
      <c r="H1355" s="47" t="n"/>
      <c r="I1355" s="47" t="n"/>
      <c r="J1355" s="40" t="n"/>
    </row>
    <row r="1356">
      <c r="A1356" s="16">
        <f>IF($B1356="","",COUNTA($B$4:$B1356))</f>
        <v/>
      </c>
      <c r="B1356" s="71" t="n"/>
      <c r="C1356" s="44" t="n"/>
      <c r="D1356" s="45" t="n"/>
      <c r="E1356" s="45" t="n"/>
      <c r="F1356" s="45" t="n"/>
      <c r="G1356" s="45" t="n"/>
      <c r="H1356" s="45" t="n"/>
      <c r="I1356" s="45" t="n"/>
      <c r="J1356" s="38" t="n"/>
    </row>
    <row r="1357">
      <c r="A1357" s="16">
        <f>IF($B1357="","",COUNTA($B$4:$B1357))</f>
        <v/>
      </c>
      <c r="B1357" s="72" t="n"/>
      <c r="C1357" s="46" t="n"/>
      <c r="D1357" s="47" t="n"/>
      <c r="E1357" s="47" t="n"/>
      <c r="F1357" s="47" t="n"/>
      <c r="G1357" s="47" t="n"/>
      <c r="H1357" s="47" t="n"/>
      <c r="I1357" s="47" t="n"/>
      <c r="J1357" s="40" t="n"/>
    </row>
    <row r="1358">
      <c r="A1358" s="16">
        <f>IF($B1358="","",COUNTA($B$4:$B1358))</f>
        <v/>
      </c>
      <c r="B1358" s="71" t="n"/>
      <c r="C1358" s="44" t="n"/>
      <c r="D1358" s="45" t="n"/>
      <c r="E1358" s="45" t="n"/>
      <c r="F1358" s="45" t="n"/>
      <c r="G1358" s="45" t="n"/>
      <c r="H1358" s="45" t="n"/>
      <c r="I1358" s="45" t="n"/>
      <c r="J1358" s="38" t="n"/>
    </row>
    <row r="1359">
      <c r="A1359" s="16">
        <f>IF($B1359="","",COUNTA($B$4:$B1359))</f>
        <v/>
      </c>
      <c r="B1359" s="72" t="n"/>
      <c r="C1359" s="46" t="n"/>
      <c r="D1359" s="47" t="n"/>
      <c r="E1359" s="47" t="n"/>
      <c r="F1359" s="47" t="n"/>
      <c r="G1359" s="47" t="n"/>
      <c r="H1359" s="47" t="n"/>
      <c r="I1359" s="47" t="n"/>
      <c r="J1359" s="40" t="n"/>
    </row>
    <row r="1360">
      <c r="A1360" s="16">
        <f>IF($B1360="","",COUNTA($B$4:$B1360))</f>
        <v/>
      </c>
      <c r="B1360" s="71" t="n"/>
      <c r="C1360" s="44" t="n"/>
      <c r="D1360" s="45" t="n"/>
      <c r="E1360" s="45" t="n"/>
      <c r="F1360" s="45" t="n"/>
      <c r="G1360" s="45" t="n"/>
      <c r="H1360" s="45" t="n"/>
      <c r="I1360" s="45" t="n"/>
      <c r="J1360" s="38" t="n"/>
    </row>
    <row r="1361">
      <c r="A1361" s="16">
        <f>IF($B1361="","",COUNTA($B$4:$B1361))</f>
        <v/>
      </c>
      <c r="B1361" s="72" t="n"/>
      <c r="C1361" s="46" t="n"/>
      <c r="D1361" s="47" t="n"/>
      <c r="E1361" s="47" t="n"/>
      <c r="F1361" s="47" t="n"/>
      <c r="G1361" s="47" t="n"/>
      <c r="H1361" s="47" t="n"/>
      <c r="I1361" s="47" t="n"/>
      <c r="J1361" s="40" t="n"/>
    </row>
    <row r="1362">
      <c r="A1362" s="16">
        <f>IF($B1362="","",COUNTA($B$4:$B1362))</f>
        <v/>
      </c>
      <c r="B1362" s="71" t="n"/>
      <c r="C1362" s="44" t="n"/>
      <c r="D1362" s="45" t="n"/>
      <c r="E1362" s="45" t="n"/>
      <c r="F1362" s="45" t="n"/>
      <c r="G1362" s="45" t="n"/>
      <c r="H1362" s="45" t="n"/>
      <c r="I1362" s="45" t="n"/>
      <c r="J1362" s="38" t="n"/>
    </row>
    <row r="1363">
      <c r="A1363" s="16">
        <f>IF($B1363="","",COUNTA($B$4:$B1363))</f>
        <v/>
      </c>
      <c r="B1363" s="72" t="n"/>
      <c r="C1363" s="46" t="n"/>
      <c r="D1363" s="47" t="n"/>
      <c r="E1363" s="47" t="n"/>
      <c r="F1363" s="47" t="n"/>
      <c r="G1363" s="47" t="n"/>
      <c r="H1363" s="47" t="n"/>
      <c r="I1363" s="47" t="n"/>
      <c r="J1363" s="40" t="n"/>
    </row>
    <row r="1364">
      <c r="A1364" s="16">
        <f>IF($B1364="","",COUNTA($B$4:$B1364))</f>
        <v/>
      </c>
      <c r="B1364" s="71" t="n"/>
      <c r="C1364" s="44" t="n"/>
      <c r="D1364" s="45" t="n"/>
      <c r="E1364" s="45" t="n"/>
      <c r="F1364" s="45" t="n"/>
      <c r="G1364" s="45" t="n"/>
      <c r="H1364" s="45" t="n"/>
      <c r="I1364" s="45" t="n"/>
      <c r="J1364" s="38" t="n"/>
    </row>
    <row r="1365">
      <c r="A1365" s="16">
        <f>IF($B1365="","",COUNTA($B$4:$B1365))</f>
        <v/>
      </c>
      <c r="B1365" s="72" t="n"/>
      <c r="C1365" s="46" t="n"/>
      <c r="D1365" s="47" t="n"/>
      <c r="E1365" s="47" t="n"/>
      <c r="F1365" s="47" t="n"/>
      <c r="G1365" s="47" t="n"/>
      <c r="H1365" s="47" t="n"/>
      <c r="I1365" s="47" t="n"/>
      <c r="J1365" s="40" t="n"/>
    </row>
    <row r="1366">
      <c r="A1366" s="16">
        <f>IF($B1366="","",COUNTA($B$4:$B1366))</f>
        <v/>
      </c>
      <c r="B1366" s="71" t="n"/>
      <c r="C1366" s="44" t="n"/>
      <c r="D1366" s="45" t="n"/>
      <c r="E1366" s="45" t="n"/>
      <c r="F1366" s="45" t="n"/>
      <c r="G1366" s="45" t="n"/>
      <c r="H1366" s="45" t="n"/>
      <c r="I1366" s="45" t="n"/>
      <c r="J1366" s="38" t="n"/>
    </row>
    <row r="1367">
      <c r="A1367" s="16">
        <f>IF($B1367="","",COUNTA($B$4:$B1367))</f>
        <v/>
      </c>
      <c r="B1367" s="72" t="n"/>
      <c r="C1367" s="46" t="n"/>
      <c r="D1367" s="47" t="n"/>
      <c r="E1367" s="47" t="n"/>
      <c r="F1367" s="47" t="n"/>
      <c r="G1367" s="47" t="n"/>
      <c r="H1367" s="47" t="n"/>
      <c r="I1367" s="47" t="n"/>
      <c r="J1367" s="40" t="n"/>
    </row>
    <row r="1368">
      <c r="A1368" s="16">
        <f>IF($B1368="","",COUNTA($B$4:$B1368))</f>
        <v/>
      </c>
      <c r="B1368" s="71" t="n"/>
      <c r="C1368" s="44" t="n"/>
      <c r="D1368" s="45" t="n"/>
      <c r="E1368" s="45" t="n"/>
      <c r="F1368" s="45" t="n"/>
      <c r="G1368" s="45" t="n"/>
      <c r="H1368" s="45" t="n"/>
      <c r="I1368" s="45" t="n"/>
      <c r="J1368" s="38" t="n"/>
    </row>
    <row r="1369">
      <c r="A1369" s="16">
        <f>IF($B1369="","",COUNTA($B$4:$B1369))</f>
        <v/>
      </c>
      <c r="B1369" s="72" t="n"/>
      <c r="C1369" s="46" t="n"/>
      <c r="D1369" s="47" t="n"/>
      <c r="E1369" s="47" t="n"/>
      <c r="F1369" s="47" t="n"/>
      <c r="G1369" s="47" t="n"/>
      <c r="H1369" s="47" t="n"/>
      <c r="I1369" s="47" t="n"/>
      <c r="J1369" s="40" t="n"/>
    </row>
    <row r="1370">
      <c r="A1370" s="16">
        <f>IF($B1370="","",COUNTA($B$4:$B1370))</f>
        <v/>
      </c>
      <c r="B1370" s="71" t="n"/>
      <c r="C1370" s="44" t="n"/>
      <c r="D1370" s="45" t="n"/>
      <c r="E1370" s="45" t="n"/>
      <c r="F1370" s="45" t="n"/>
      <c r="G1370" s="45" t="n"/>
      <c r="H1370" s="45" t="n"/>
      <c r="I1370" s="45" t="n"/>
      <c r="J1370" s="38" t="n"/>
    </row>
    <row r="1371">
      <c r="A1371" s="16">
        <f>IF($B1371="","",COUNTA($B$4:$B1371))</f>
        <v/>
      </c>
      <c r="B1371" s="72" t="n"/>
      <c r="C1371" s="46" t="n"/>
      <c r="D1371" s="47" t="n"/>
      <c r="E1371" s="47" t="n"/>
      <c r="F1371" s="47" t="n"/>
      <c r="G1371" s="47" t="n"/>
      <c r="H1371" s="47" t="n"/>
      <c r="I1371" s="47" t="n"/>
      <c r="J1371" s="40" t="n"/>
    </row>
    <row r="1372">
      <c r="A1372" s="16">
        <f>IF($B1372="","",COUNTA($B$4:$B1372))</f>
        <v/>
      </c>
      <c r="B1372" s="71" t="n"/>
      <c r="C1372" s="44" t="n"/>
      <c r="D1372" s="45" t="n"/>
      <c r="E1372" s="45" t="n"/>
      <c r="F1372" s="45" t="n"/>
      <c r="G1372" s="45" t="n"/>
      <c r="H1372" s="45" t="n"/>
      <c r="I1372" s="45" t="n"/>
      <c r="J1372" s="38" t="n"/>
    </row>
    <row r="1373">
      <c r="A1373" s="16">
        <f>IF($B1373="","",COUNTA($B$4:$B1373))</f>
        <v/>
      </c>
      <c r="B1373" s="72" t="n"/>
      <c r="C1373" s="46" t="n"/>
      <c r="D1373" s="47" t="n"/>
      <c r="E1373" s="47" t="n"/>
      <c r="F1373" s="47" t="n"/>
      <c r="G1373" s="47" t="n"/>
      <c r="H1373" s="47" t="n"/>
      <c r="I1373" s="47" t="n"/>
      <c r="J1373" s="40" t="n"/>
    </row>
    <row r="1374">
      <c r="A1374" s="16">
        <f>IF($B1374="","",COUNTA($B$4:$B1374))</f>
        <v/>
      </c>
      <c r="B1374" s="71" t="n"/>
      <c r="C1374" s="44" t="n"/>
      <c r="D1374" s="45" t="n"/>
      <c r="E1374" s="45" t="n"/>
      <c r="F1374" s="45" t="n"/>
      <c r="G1374" s="45" t="n"/>
      <c r="H1374" s="45" t="n"/>
      <c r="I1374" s="45" t="n"/>
      <c r="J1374" s="38" t="n"/>
    </row>
    <row r="1375">
      <c r="A1375" s="16">
        <f>IF($B1375="","",COUNTA($B$4:$B1375))</f>
        <v/>
      </c>
      <c r="B1375" s="72" t="n"/>
      <c r="C1375" s="46" t="n"/>
      <c r="D1375" s="47" t="n"/>
      <c r="E1375" s="47" t="n"/>
      <c r="F1375" s="47" t="n"/>
      <c r="G1375" s="47" t="n"/>
      <c r="H1375" s="47" t="n"/>
      <c r="I1375" s="47" t="n"/>
      <c r="J1375" s="40" t="n"/>
    </row>
    <row r="1376">
      <c r="A1376" s="16">
        <f>IF($B1376="","",COUNTA($B$4:$B1376))</f>
        <v/>
      </c>
      <c r="B1376" s="71" t="n"/>
      <c r="C1376" s="44" t="n"/>
      <c r="D1376" s="45" t="n"/>
      <c r="E1376" s="45" t="n"/>
      <c r="F1376" s="45" t="n"/>
      <c r="G1376" s="45" t="n"/>
      <c r="H1376" s="45" t="n"/>
      <c r="I1376" s="45" t="n"/>
      <c r="J1376" s="38" t="n"/>
    </row>
    <row r="1377">
      <c r="A1377" s="16">
        <f>IF($B1377="","",COUNTA($B$4:$B1377))</f>
        <v/>
      </c>
      <c r="B1377" s="72" t="n"/>
      <c r="C1377" s="46" t="n"/>
      <c r="D1377" s="47" t="n"/>
      <c r="E1377" s="47" t="n"/>
      <c r="F1377" s="47" t="n"/>
      <c r="G1377" s="47" t="n"/>
      <c r="H1377" s="47" t="n"/>
      <c r="I1377" s="47" t="n"/>
      <c r="J1377" s="40" t="n"/>
    </row>
    <row r="1378">
      <c r="A1378" s="16">
        <f>IF($B1378="","",COUNTA($B$4:$B1378))</f>
        <v/>
      </c>
      <c r="B1378" s="71" t="n"/>
      <c r="C1378" s="44" t="n"/>
      <c r="D1378" s="45" t="n"/>
      <c r="E1378" s="45" t="n"/>
      <c r="F1378" s="45" t="n"/>
      <c r="G1378" s="45" t="n"/>
      <c r="H1378" s="45" t="n"/>
      <c r="I1378" s="45" t="n"/>
      <c r="J1378" s="38" t="n"/>
    </row>
    <row r="1379">
      <c r="A1379" s="16">
        <f>IF($B1379="","",COUNTA($B$4:$B1379))</f>
        <v/>
      </c>
      <c r="B1379" s="72" t="n"/>
      <c r="C1379" s="46" t="n"/>
      <c r="D1379" s="47" t="n"/>
      <c r="E1379" s="47" t="n"/>
      <c r="F1379" s="47" t="n"/>
      <c r="G1379" s="47" t="n"/>
      <c r="H1379" s="47" t="n"/>
      <c r="I1379" s="47" t="n"/>
      <c r="J1379" s="40" t="n"/>
    </row>
    <row r="1380">
      <c r="A1380" s="16">
        <f>IF($B1380="","",COUNTA($B$4:$B1380))</f>
        <v/>
      </c>
      <c r="B1380" s="71" t="n"/>
      <c r="C1380" s="44" t="n"/>
      <c r="D1380" s="45" t="n"/>
      <c r="E1380" s="45" t="n"/>
      <c r="F1380" s="45" t="n"/>
      <c r="G1380" s="45" t="n"/>
      <c r="H1380" s="45" t="n"/>
      <c r="I1380" s="45" t="n"/>
      <c r="J1380" s="38" t="n"/>
    </row>
    <row r="1381">
      <c r="A1381" s="16">
        <f>IF($B1381="","",COUNTA($B$4:$B1381))</f>
        <v/>
      </c>
      <c r="B1381" s="72" t="n"/>
      <c r="C1381" s="46" t="n"/>
      <c r="D1381" s="47" t="n"/>
      <c r="E1381" s="47" t="n"/>
      <c r="F1381" s="47" t="n"/>
      <c r="G1381" s="47" t="n"/>
      <c r="H1381" s="47" t="n"/>
      <c r="I1381" s="47" t="n"/>
      <c r="J1381" s="40" t="n"/>
    </row>
    <row r="1382">
      <c r="A1382" s="16">
        <f>IF($B1382="","",COUNTA($B$4:$B1382))</f>
        <v/>
      </c>
      <c r="B1382" s="71" t="n"/>
      <c r="C1382" s="44" t="n"/>
      <c r="D1382" s="45" t="n"/>
      <c r="E1382" s="45" t="n"/>
      <c r="F1382" s="45" t="n"/>
      <c r="G1382" s="45" t="n"/>
      <c r="H1382" s="45" t="n"/>
      <c r="I1382" s="45" t="n"/>
      <c r="J1382" s="38" t="n"/>
    </row>
    <row r="1383">
      <c r="A1383" s="16">
        <f>IF($B1383="","",COUNTA($B$4:$B1383))</f>
        <v/>
      </c>
      <c r="B1383" s="72" t="n"/>
      <c r="C1383" s="46" t="n"/>
      <c r="D1383" s="47" t="n"/>
      <c r="E1383" s="47" t="n"/>
      <c r="F1383" s="47" t="n"/>
      <c r="G1383" s="47" t="n"/>
      <c r="H1383" s="47" t="n"/>
      <c r="I1383" s="47" t="n"/>
      <c r="J1383" s="40" t="n"/>
    </row>
    <row r="1384">
      <c r="A1384" s="16">
        <f>IF($B1384="","",COUNTA($B$4:$B1384))</f>
        <v/>
      </c>
      <c r="B1384" s="71" t="n"/>
      <c r="C1384" s="44" t="n"/>
      <c r="D1384" s="45" t="n"/>
      <c r="E1384" s="45" t="n"/>
      <c r="F1384" s="45" t="n"/>
      <c r="G1384" s="45" t="n"/>
      <c r="H1384" s="45" t="n"/>
      <c r="I1384" s="45" t="n"/>
      <c r="J1384" s="38" t="n"/>
    </row>
    <row r="1385">
      <c r="A1385" s="16">
        <f>IF($B1385="","",COUNTA($B$4:$B1385))</f>
        <v/>
      </c>
      <c r="B1385" s="72" t="n"/>
      <c r="C1385" s="46" t="n"/>
      <c r="D1385" s="47" t="n"/>
      <c r="E1385" s="47" t="n"/>
      <c r="F1385" s="47" t="n"/>
      <c r="G1385" s="47" t="n"/>
      <c r="H1385" s="47" t="n"/>
      <c r="I1385" s="47" t="n"/>
      <c r="J1385" s="40" t="n"/>
    </row>
    <row r="1386">
      <c r="A1386" s="16">
        <f>IF($B1386="","",COUNTA($B$4:$B1386))</f>
        <v/>
      </c>
      <c r="B1386" s="71" t="n"/>
      <c r="C1386" s="44" t="n"/>
      <c r="D1386" s="45" t="n"/>
      <c r="E1386" s="45" t="n"/>
      <c r="F1386" s="45" t="n"/>
      <c r="G1386" s="45" t="n"/>
      <c r="H1386" s="45" t="n"/>
      <c r="I1386" s="45" t="n"/>
      <c r="J1386" s="38" t="n"/>
    </row>
    <row r="1387">
      <c r="A1387" s="16">
        <f>IF($B1387="","",COUNTA($B$4:$B1387))</f>
        <v/>
      </c>
      <c r="B1387" s="72" t="n"/>
      <c r="C1387" s="46" t="n"/>
      <c r="D1387" s="47" t="n"/>
      <c r="E1387" s="47" t="n"/>
      <c r="F1387" s="47" t="n"/>
      <c r="G1387" s="47" t="n"/>
      <c r="H1387" s="47" t="n"/>
      <c r="I1387" s="47" t="n"/>
      <c r="J1387" s="40" t="n"/>
    </row>
    <row r="1388">
      <c r="A1388" s="16">
        <f>IF($B1388="","",COUNTA($B$4:$B1388))</f>
        <v/>
      </c>
      <c r="B1388" s="71" t="n"/>
      <c r="C1388" s="44" t="n"/>
      <c r="D1388" s="45" t="n"/>
      <c r="E1388" s="45" t="n"/>
      <c r="F1388" s="45" t="n"/>
      <c r="G1388" s="45" t="n"/>
      <c r="H1388" s="45" t="n"/>
      <c r="I1388" s="45" t="n"/>
      <c r="J1388" s="38" t="n"/>
    </row>
    <row r="1389">
      <c r="A1389" s="16">
        <f>IF($B1389="","",COUNTA($B$4:$B1389))</f>
        <v/>
      </c>
      <c r="B1389" s="72" t="n"/>
      <c r="C1389" s="46" t="n"/>
      <c r="D1389" s="47" t="n"/>
      <c r="E1389" s="47" t="n"/>
      <c r="F1389" s="47" t="n"/>
      <c r="G1389" s="47" t="n"/>
      <c r="H1389" s="47" t="n"/>
      <c r="I1389" s="47" t="n"/>
      <c r="J1389" s="40" t="n"/>
    </row>
    <row r="1390">
      <c r="A1390" s="16">
        <f>IF($B1390="","",COUNTA($B$4:$B1390))</f>
        <v/>
      </c>
      <c r="B1390" s="71" t="n"/>
      <c r="C1390" s="44" t="n"/>
      <c r="D1390" s="45" t="n"/>
      <c r="E1390" s="45" t="n"/>
      <c r="F1390" s="45" t="n"/>
      <c r="G1390" s="45" t="n"/>
      <c r="H1390" s="45" t="n"/>
      <c r="I1390" s="45" t="n"/>
      <c r="J1390" s="38" t="n"/>
    </row>
    <row r="1391">
      <c r="A1391" s="16">
        <f>IF($B1391="","",COUNTA($B$4:$B1391))</f>
        <v/>
      </c>
      <c r="B1391" s="72" t="n"/>
      <c r="C1391" s="46" t="n"/>
      <c r="D1391" s="47" t="n"/>
      <c r="E1391" s="47" t="n"/>
      <c r="F1391" s="47" t="n"/>
      <c r="G1391" s="47" t="n"/>
      <c r="H1391" s="47" t="n"/>
      <c r="I1391" s="47" t="n"/>
      <c r="J1391" s="40" t="n"/>
    </row>
    <row r="1392">
      <c r="A1392" s="16">
        <f>IF($B1392="","",COUNTA($B$4:$B1392))</f>
        <v/>
      </c>
      <c r="B1392" s="71" t="n"/>
      <c r="C1392" s="44" t="n"/>
      <c r="D1392" s="45" t="n"/>
      <c r="E1392" s="45" t="n"/>
      <c r="F1392" s="45" t="n"/>
      <c r="G1392" s="45" t="n"/>
      <c r="H1392" s="45" t="n"/>
      <c r="I1392" s="45" t="n"/>
      <c r="J1392" s="38" t="n"/>
    </row>
    <row r="1393">
      <c r="A1393" s="16">
        <f>IF($B1393="","",COUNTA($B$4:$B1393))</f>
        <v/>
      </c>
      <c r="B1393" s="72" t="n"/>
      <c r="C1393" s="46" t="n"/>
      <c r="D1393" s="47" t="n"/>
      <c r="E1393" s="47" t="n"/>
      <c r="F1393" s="47" t="n"/>
      <c r="G1393" s="47" t="n"/>
      <c r="H1393" s="47" t="n"/>
      <c r="I1393" s="47" t="n"/>
      <c r="J1393" s="40" t="n"/>
    </row>
    <row r="1394">
      <c r="A1394" s="16">
        <f>IF($B1394="","",COUNTA($B$4:$B1394))</f>
        <v/>
      </c>
      <c r="B1394" s="71" t="n"/>
      <c r="C1394" s="44" t="n"/>
      <c r="D1394" s="45" t="n"/>
      <c r="E1394" s="45" t="n"/>
      <c r="F1394" s="45" t="n"/>
      <c r="G1394" s="45" t="n"/>
      <c r="H1394" s="45" t="n"/>
      <c r="I1394" s="45" t="n"/>
      <c r="J1394" s="38" t="n"/>
    </row>
    <row r="1395">
      <c r="A1395" s="16">
        <f>IF($B1395="","",COUNTA($B$4:$B1395))</f>
        <v/>
      </c>
      <c r="B1395" s="72" t="n"/>
      <c r="C1395" s="46" t="n"/>
      <c r="D1395" s="47" t="n"/>
      <c r="E1395" s="47" t="n"/>
      <c r="F1395" s="47" t="n"/>
      <c r="G1395" s="47" t="n"/>
      <c r="H1395" s="47" t="n"/>
      <c r="I1395" s="47" t="n"/>
      <c r="J1395" s="40" t="n"/>
    </row>
    <row r="1396">
      <c r="A1396" s="16">
        <f>IF($B1396="","",COUNTA($B$4:$B1396))</f>
        <v/>
      </c>
      <c r="B1396" s="71" t="n"/>
      <c r="C1396" s="44" t="n"/>
      <c r="D1396" s="45" t="n"/>
      <c r="E1396" s="45" t="n"/>
      <c r="F1396" s="45" t="n"/>
      <c r="G1396" s="45" t="n"/>
      <c r="H1396" s="45" t="n"/>
      <c r="I1396" s="45" t="n"/>
      <c r="J1396" s="38" t="n"/>
    </row>
    <row r="1397">
      <c r="A1397" s="16">
        <f>IF($B1397="","",COUNTA($B$4:$B1397))</f>
        <v/>
      </c>
      <c r="B1397" s="72" t="n"/>
      <c r="C1397" s="46" t="n"/>
      <c r="D1397" s="47" t="n"/>
      <c r="E1397" s="47" t="n"/>
      <c r="F1397" s="47" t="n"/>
      <c r="G1397" s="47" t="n"/>
      <c r="H1397" s="47" t="n"/>
      <c r="I1397" s="47" t="n"/>
      <c r="J1397" s="40" t="n"/>
    </row>
    <row r="1398">
      <c r="A1398" s="16">
        <f>IF($B1398="","",COUNTA($B$4:$B1398))</f>
        <v/>
      </c>
      <c r="B1398" s="71" t="n"/>
      <c r="C1398" s="44" t="n"/>
      <c r="D1398" s="45" t="n"/>
      <c r="E1398" s="45" t="n"/>
      <c r="F1398" s="45" t="n"/>
      <c r="G1398" s="45" t="n"/>
      <c r="H1398" s="45" t="n"/>
      <c r="I1398" s="45" t="n"/>
      <c r="J1398" s="38" t="n"/>
    </row>
    <row r="1399">
      <c r="A1399" s="16">
        <f>IF($B1399="","",COUNTA($B$4:$B1399))</f>
        <v/>
      </c>
      <c r="B1399" s="72" t="n"/>
      <c r="C1399" s="46" t="n"/>
      <c r="D1399" s="47" t="n"/>
      <c r="E1399" s="47" t="n"/>
      <c r="F1399" s="47" t="n"/>
      <c r="G1399" s="47" t="n"/>
      <c r="H1399" s="47" t="n"/>
      <c r="I1399" s="47" t="n"/>
      <c r="J1399" s="40" t="n"/>
    </row>
    <row r="1400">
      <c r="A1400" s="16">
        <f>IF($B1400="","",COUNTA($B$4:$B1400))</f>
        <v/>
      </c>
      <c r="B1400" s="71" t="n"/>
      <c r="C1400" s="44" t="n"/>
      <c r="D1400" s="45" t="n"/>
      <c r="E1400" s="45" t="n"/>
      <c r="F1400" s="45" t="n"/>
      <c r="G1400" s="45" t="n"/>
      <c r="H1400" s="45" t="n"/>
      <c r="I1400" s="45" t="n"/>
      <c r="J1400" s="38" t="n"/>
    </row>
    <row r="1401">
      <c r="A1401" s="16">
        <f>IF($B1401="","",COUNTA($B$4:$B1401))</f>
        <v/>
      </c>
      <c r="B1401" s="72" t="n"/>
      <c r="C1401" s="46" t="n"/>
      <c r="D1401" s="47" t="n"/>
      <c r="E1401" s="47" t="n"/>
      <c r="F1401" s="47" t="n"/>
      <c r="G1401" s="47" t="n"/>
      <c r="H1401" s="47" t="n"/>
      <c r="I1401" s="47" t="n"/>
      <c r="J1401" s="40" t="n"/>
    </row>
    <row r="1402">
      <c r="A1402" s="16">
        <f>IF($B1402="","",COUNTA($B$4:$B1402))</f>
        <v/>
      </c>
      <c r="B1402" s="71" t="n"/>
      <c r="C1402" s="44" t="n"/>
      <c r="D1402" s="45" t="n"/>
      <c r="E1402" s="45" t="n"/>
      <c r="F1402" s="45" t="n"/>
      <c r="G1402" s="45" t="n"/>
      <c r="H1402" s="45" t="n"/>
      <c r="I1402" s="45" t="n"/>
      <c r="J1402" s="38" t="n"/>
    </row>
    <row r="1403">
      <c r="A1403" s="16">
        <f>IF($B1403="","",COUNTA($B$4:$B1403))</f>
        <v/>
      </c>
      <c r="B1403" s="72" t="n"/>
      <c r="C1403" s="46" t="n"/>
      <c r="D1403" s="47" t="n"/>
      <c r="E1403" s="47" t="n"/>
      <c r="F1403" s="47" t="n"/>
      <c r="G1403" s="47" t="n"/>
      <c r="H1403" s="47" t="n"/>
      <c r="I1403" s="47" t="n"/>
      <c r="J1403" s="40" t="n"/>
    </row>
    <row r="1404">
      <c r="A1404" s="16">
        <f>IF($B1404="","",COUNTA($B$4:$B1404))</f>
        <v/>
      </c>
      <c r="B1404" s="71" t="n"/>
      <c r="C1404" s="44" t="n"/>
      <c r="D1404" s="45" t="n"/>
      <c r="E1404" s="45" t="n"/>
      <c r="F1404" s="45" t="n"/>
      <c r="G1404" s="45" t="n"/>
      <c r="H1404" s="45" t="n"/>
      <c r="I1404" s="45" t="n"/>
      <c r="J1404" s="38" t="n"/>
    </row>
    <row r="1405">
      <c r="A1405" s="16">
        <f>IF($B1405="","",COUNTA($B$4:$B1405))</f>
        <v/>
      </c>
      <c r="B1405" s="72" t="n"/>
      <c r="C1405" s="46" t="n"/>
      <c r="D1405" s="47" t="n"/>
      <c r="E1405" s="47" t="n"/>
      <c r="F1405" s="47" t="n"/>
      <c r="G1405" s="47" t="n"/>
      <c r="H1405" s="47" t="n"/>
      <c r="I1405" s="47" t="n"/>
      <c r="J1405" s="40" t="n"/>
    </row>
    <row r="1406">
      <c r="A1406" s="16">
        <f>IF($B1406="","",COUNTA($B$4:$B1406))</f>
        <v/>
      </c>
      <c r="B1406" s="71" t="n"/>
      <c r="C1406" s="44" t="n"/>
      <c r="D1406" s="45" t="n"/>
      <c r="E1406" s="45" t="n"/>
      <c r="F1406" s="45" t="n"/>
      <c r="G1406" s="45" t="n"/>
      <c r="H1406" s="45" t="n"/>
      <c r="I1406" s="45" t="n"/>
      <c r="J1406" s="38" t="n"/>
    </row>
    <row r="1407">
      <c r="A1407" s="16">
        <f>IF($B1407="","",COUNTA($B$4:$B1407))</f>
        <v/>
      </c>
      <c r="B1407" s="72" t="n"/>
      <c r="C1407" s="46" t="n"/>
      <c r="D1407" s="47" t="n"/>
      <c r="E1407" s="47" t="n"/>
      <c r="F1407" s="47" t="n"/>
      <c r="G1407" s="47" t="n"/>
      <c r="H1407" s="47" t="n"/>
      <c r="I1407" s="47" t="n"/>
      <c r="J1407" s="40" t="n"/>
    </row>
    <row r="1408">
      <c r="A1408" s="16">
        <f>IF($B1408="","",COUNTA($B$4:$B1408))</f>
        <v/>
      </c>
      <c r="B1408" s="71" t="n"/>
      <c r="C1408" s="44" t="n"/>
      <c r="D1408" s="45" t="n"/>
      <c r="E1408" s="45" t="n"/>
      <c r="F1408" s="45" t="n"/>
      <c r="G1408" s="45" t="n"/>
      <c r="H1408" s="45" t="n"/>
      <c r="I1408" s="45" t="n"/>
      <c r="J1408" s="38" t="n"/>
    </row>
    <row r="1409">
      <c r="A1409" s="16">
        <f>IF($B1409="","",COUNTA($B$4:$B1409))</f>
        <v/>
      </c>
      <c r="B1409" s="72" t="n"/>
      <c r="C1409" s="46" t="n"/>
      <c r="D1409" s="47" t="n"/>
      <c r="E1409" s="47" t="n"/>
      <c r="F1409" s="47" t="n"/>
      <c r="G1409" s="47" t="n"/>
      <c r="H1409" s="47" t="n"/>
      <c r="I1409" s="47" t="n"/>
      <c r="J1409" s="40" t="n"/>
    </row>
    <row r="1410">
      <c r="A1410" s="16">
        <f>IF($B1410="","",COUNTA($B$4:$B1410))</f>
        <v/>
      </c>
      <c r="B1410" s="71" t="n"/>
      <c r="C1410" s="44" t="n"/>
      <c r="D1410" s="45" t="n"/>
      <c r="E1410" s="45" t="n"/>
      <c r="F1410" s="45" t="n"/>
      <c r="G1410" s="45" t="n"/>
      <c r="H1410" s="45" t="n"/>
      <c r="I1410" s="45" t="n"/>
      <c r="J1410" s="38" t="n"/>
    </row>
    <row r="1411">
      <c r="A1411" s="16">
        <f>IF($B1411="","",COUNTA($B$4:$B1411))</f>
        <v/>
      </c>
      <c r="B1411" s="72" t="n"/>
      <c r="C1411" s="46" t="n"/>
      <c r="D1411" s="47" t="n"/>
      <c r="E1411" s="47" t="n"/>
      <c r="F1411" s="47" t="n"/>
      <c r="G1411" s="47" t="n"/>
      <c r="H1411" s="47" t="n"/>
      <c r="I1411" s="47" t="n"/>
      <c r="J1411" s="40" t="n"/>
    </row>
    <row r="1412">
      <c r="A1412" s="16">
        <f>IF($B1412="","",COUNTA($B$4:$B1412))</f>
        <v/>
      </c>
      <c r="B1412" s="71" t="n"/>
      <c r="C1412" s="44" t="n"/>
      <c r="D1412" s="45" t="n"/>
      <c r="E1412" s="45" t="n"/>
      <c r="F1412" s="45" t="n"/>
      <c r="G1412" s="45" t="n"/>
      <c r="H1412" s="45" t="n"/>
      <c r="I1412" s="45" t="n"/>
      <c r="J1412" s="38" t="n"/>
    </row>
    <row r="1413">
      <c r="A1413" s="16">
        <f>IF($B1413="","",COUNTA($B$4:$B1413))</f>
        <v/>
      </c>
      <c r="B1413" s="72" t="n"/>
      <c r="C1413" s="46" t="n"/>
      <c r="D1413" s="47" t="n"/>
      <c r="E1413" s="47" t="n"/>
      <c r="F1413" s="47" t="n"/>
      <c r="G1413" s="47" t="n"/>
      <c r="H1413" s="47" t="n"/>
      <c r="I1413" s="47" t="n"/>
      <c r="J1413" s="40" t="n"/>
    </row>
    <row r="1414">
      <c r="A1414" s="16">
        <f>IF($B1414="","",COUNTA($B$4:$B1414))</f>
        <v/>
      </c>
      <c r="B1414" s="71" t="n"/>
      <c r="C1414" s="44" t="n"/>
      <c r="D1414" s="45" t="n"/>
      <c r="E1414" s="45" t="n"/>
      <c r="F1414" s="45" t="n"/>
      <c r="G1414" s="45" t="n"/>
      <c r="H1414" s="45" t="n"/>
      <c r="I1414" s="45" t="n"/>
      <c r="J1414" s="38" t="n"/>
    </row>
    <row r="1415">
      <c r="A1415" s="16">
        <f>IF($B1415="","",COUNTA($B$4:$B1415))</f>
        <v/>
      </c>
      <c r="B1415" s="72" t="n"/>
      <c r="C1415" s="46" t="n"/>
      <c r="D1415" s="47" t="n"/>
      <c r="E1415" s="47" t="n"/>
      <c r="F1415" s="47" t="n"/>
      <c r="G1415" s="47" t="n"/>
      <c r="H1415" s="47" t="n"/>
      <c r="I1415" s="47" t="n"/>
      <c r="J1415" s="40" t="n"/>
    </row>
    <row r="1416">
      <c r="A1416" s="16">
        <f>IF($B1416="","",COUNTA($B$4:$B1416))</f>
        <v/>
      </c>
      <c r="B1416" s="71" t="n"/>
      <c r="C1416" s="44" t="n"/>
      <c r="D1416" s="45" t="n"/>
      <c r="E1416" s="45" t="n"/>
      <c r="F1416" s="45" t="n"/>
      <c r="G1416" s="45" t="n"/>
      <c r="H1416" s="45" t="n"/>
      <c r="I1416" s="45" t="n"/>
      <c r="J1416" s="38" t="n"/>
    </row>
    <row r="1417">
      <c r="A1417" s="16">
        <f>IF($B1417="","",COUNTA($B$4:$B1417))</f>
        <v/>
      </c>
      <c r="B1417" s="72" t="n"/>
      <c r="C1417" s="46" t="n"/>
      <c r="D1417" s="47" t="n"/>
      <c r="E1417" s="47" t="n"/>
      <c r="F1417" s="47" t="n"/>
      <c r="G1417" s="47" t="n"/>
      <c r="H1417" s="47" t="n"/>
      <c r="I1417" s="47" t="n"/>
      <c r="J1417" s="40" t="n"/>
    </row>
    <row r="1418">
      <c r="A1418" s="16">
        <f>IF($B1418="","",COUNTA($B$4:$B1418))</f>
        <v/>
      </c>
      <c r="B1418" s="71" t="n"/>
      <c r="C1418" s="44" t="n"/>
      <c r="D1418" s="45" t="n"/>
      <c r="E1418" s="45" t="n"/>
      <c r="F1418" s="45" t="n"/>
      <c r="G1418" s="45" t="n"/>
      <c r="H1418" s="45" t="n"/>
      <c r="I1418" s="45" t="n"/>
      <c r="J1418" s="38" t="n"/>
    </row>
    <row r="1419">
      <c r="A1419" s="16">
        <f>IF($B1419="","",COUNTA($B$4:$B1419))</f>
        <v/>
      </c>
      <c r="B1419" s="72" t="n"/>
      <c r="C1419" s="46" t="n"/>
      <c r="D1419" s="47" t="n"/>
      <c r="E1419" s="47" t="n"/>
      <c r="F1419" s="47" t="n"/>
      <c r="G1419" s="47" t="n"/>
      <c r="H1419" s="47" t="n"/>
      <c r="I1419" s="47" t="n"/>
      <c r="J1419" s="40" t="n"/>
    </row>
    <row r="1420">
      <c r="A1420" s="16">
        <f>IF($B1420="","",COUNTA($B$4:$B1420))</f>
        <v/>
      </c>
      <c r="B1420" s="71" t="n"/>
      <c r="C1420" s="44" t="n"/>
      <c r="D1420" s="45" t="n"/>
      <c r="E1420" s="45" t="n"/>
      <c r="F1420" s="45" t="n"/>
      <c r="G1420" s="45" t="n"/>
      <c r="H1420" s="45" t="n"/>
      <c r="I1420" s="45" t="n"/>
      <c r="J1420" s="38" t="n"/>
    </row>
    <row r="1421">
      <c r="A1421" s="16">
        <f>IF($B1421="","",COUNTA($B$4:$B1421))</f>
        <v/>
      </c>
      <c r="B1421" s="72" t="n"/>
      <c r="C1421" s="46" t="n"/>
      <c r="D1421" s="47" t="n"/>
      <c r="E1421" s="47" t="n"/>
      <c r="F1421" s="47" t="n"/>
      <c r="G1421" s="47" t="n"/>
      <c r="H1421" s="47" t="n"/>
      <c r="I1421" s="47" t="n"/>
      <c r="J1421" s="40" t="n"/>
    </row>
    <row r="1422">
      <c r="A1422" s="16">
        <f>IF($B1422="","",COUNTA($B$4:$B1422))</f>
        <v/>
      </c>
      <c r="B1422" s="71" t="n"/>
      <c r="C1422" s="44" t="n"/>
      <c r="D1422" s="45" t="n"/>
      <c r="E1422" s="45" t="n"/>
      <c r="F1422" s="45" t="n"/>
      <c r="G1422" s="45" t="n"/>
      <c r="H1422" s="45" t="n"/>
      <c r="I1422" s="45" t="n"/>
      <c r="J1422" s="38" t="n"/>
    </row>
    <row r="1423">
      <c r="A1423" s="16">
        <f>IF($B1423="","",COUNTA($B$4:$B1423))</f>
        <v/>
      </c>
      <c r="B1423" s="72" t="n"/>
      <c r="C1423" s="46" t="n"/>
      <c r="D1423" s="47" t="n"/>
      <c r="E1423" s="47" t="n"/>
      <c r="F1423" s="47" t="n"/>
      <c r="G1423" s="47" t="n"/>
      <c r="H1423" s="47" t="n"/>
      <c r="I1423" s="47" t="n"/>
      <c r="J1423" s="40" t="n"/>
    </row>
    <row r="1424">
      <c r="A1424" s="16">
        <f>IF($B1424="","",COUNTA($B$4:$B1424))</f>
        <v/>
      </c>
      <c r="B1424" s="71" t="n"/>
      <c r="C1424" s="44" t="n"/>
      <c r="D1424" s="45" t="n"/>
      <c r="E1424" s="45" t="n"/>
      <c r="F1424" s="45" t="n"/>
      <c r="G1424" s="45" t="n"/>
      <c r="H1424" s="45" t="n"/>
      <c r="I1424" s="45" t="n"/>
      <c r="J1424" s="38" t="n"/>
    </row>
    <row r="1425">
      <c r="A1425" s="16">
        <f>IF($B1425="","",COUNTA($B$4:$B1425))</f>
        <v/>
      </c>
      <c r="B1425" s="72" t="n"/>
      <c r="C1425" s="46" t="n"/>
      <c r="D1425" s="47" t="n"/>
      <c r="E1425" s="47" t="n"/>
      <c r="F1425" s="47" t="n"/>
      <c r="G1425" s="47" t="n"/>
      <c r="H1425" s="47" t="n"/>
      <c r="I1425" s="47" t="n"/>
      <c r="J1425" s="40" t="n"/>
    </row>
    <row r="1426">
      <c r="A1426" s="16">
        <f>IF($B1426="","",COUNTA($B$4:$B1426))</f>
        <v/>
      </c>
      <c r="B1426" s="71" t="n"/>
      <c r="C1426" s="44" t="n"/>
      <c r="D1426" s="45" t="n"/>
      <c r="E1426" s="45" t="n"/>
      <c r="F1426" s="45" t="n"/>
      <c r="G1426" s="45" t="n"/>
      <c r="H1426" s="45" t="n"/>
      <c r="I1426" s="45" t="n"/>
      <c r="J1426" s="38" t="n"/>
    </row>
    <row r="1427">
      <c r="A1427" s="16">
        <f>IF($B1427="","",COUNTA($B$4:$B1427))</f>
        <v/>
      </c>
      <c r="B1427" s="72" t="n"/>
      <c r="C1427" s="46" t="n"/>
      <c r="D1427" s="47" t="n"/>
      <c r="E1427" s="47" t="n"/>
      <c r="F1427" s="47" t="n"/>
      <c r="G1427" s="47" t="n"/>
      <c r="H1427" s="47" t="n"/>
      <c r="I1427" s="47" t="n"/>
      <c r="J1427" s="40" t="n"/>
    </row>
    <row r="1428">
      <c r="A1428" s="16">
        <f>IF($B1428="","",COUNTA($B$4:$B1428))</f>
        <v/>
      </c>
      <c r="B1428" s="71" t="n"/>
      <c r="C1428" s="44" t="n"/>
      <c r="D1428" s="45" t="n"/>
      <c r="E1428" s="45" t="n"/>
      <c r="F1428" s="45" t="n"/>
      <c r="G1428" s="45" t="n"/>
      <c r="H1428" s="45" t="n"/>
      <c r="I1428" s="45" t="n"/>
      <c r="J1428" s="38" t="n"/>
    </row>
    <row r="1429">
      <c r="A1429" s="16">
        <f>IF($B1429="","",COUNTA($B$4:$B1429))</f>
        <v/>
      </c>
      <c r="B1429" s="72" t="n"/>
      <c r="C1429" s="46" t="n"/>
      <c r="D1429" s="47" t="n"/>
      <c r="E1429" s="47" t="n"/>
      <c r="F1429" s="47" t="n"/>
      <c r="G1429" s="47" t="n"/>
      <c r="H1429" s="47" t="n"/>
      <c r="I1429" s="47" t="n"/>
      <c r="J1429" s="40" t="n"/>
    </row>
    <row r="1430">
      <c r="A1430" s="16">
        <f>IF($B1430="","",COUNTA($B$4:$B1430))</f>
        <v/>
      </c>
      <c r="B1430" s="71" t="n"/>
      <c r="C1430" s="44" t="n"/>
      <c r="D1430" s="45" t="n"/>
      <c r="E1430" s="45" t="n"/>
      <c r="F1430" s="45" t="n"/>
      <c r="G1430" s="45" t="n"/>
      <c r="H1430" s="45" t="n"/>
      <c r="I1430" s="45" t="n"/>
      <c r="J1430" s="38" t="n"/>
    </row>
    <row r="1431">
      <c r="A1431" s="16">
        <f>IF($B1431="","",COUNTA($B$4:$B1431))</f>
        <v/>
      </c>
      <c r="B1431" s="72" t="n"/>
      <c r="C1431" s="46" t="n"/>
      <c r="D1431" s="47" t="n"/>
      <c r="E1431" s="47" t="n"/>
      <c r="F1431" s="47" t="n"/>
      <c r="G1431" s="47" t="n"/>
      <c r="H1431" s="47" t="n"/>
      <c r="I1431" s="47" t="n"/>
      <c r="J1431" s="40" t="n"/>
    </row>
    <row r="1432">
      <c r="A1432" s="16">
        <f>IF($B1432="","",COUNTA($B$4:$B1432))</f>
        <v/>
      </c>
      <c r="B1432" s="71" t="n"/>
      <c r="C1432" s="44" t="n"/>
      <c r="D1432" s="45" t="n"/>
      <c r="E1432" s="45" t="n"/>
      <c r="F1432" s="45" t="n"/>
      <c r="G1432" s="45" t="n"/>
      <c r="H1432" s="45" t="n"/>
      <c r="I1432" s="45" t="n"/>
      <c r="J1432" s="38" t="n"/>
    </row>
    <row r="1433">
      <c r="A1433" s="16">
        <f>IF($B1433="","",COUNTA($B$4:$B1433))</f>
        <v/>
      </c>
      <c r="B1433" s="72" t="n"/>
      <c r="C1433" s="46" t="n"/>
      <c r="D1433" s="47" t="n"/>
      <c r="E1433" s="47" t="n"/>
      <c r="F1433" s="47" t="n"/>
      <c r="G1433" s="47" t="n"/>
      <c r="H1433" s="47" t="n"/>
      <c r="I1433" s="47" t="n"/>
      <c r="J1433" s="40" t="n"/>
    </row>
    <row r="1434">
      <c r="A1434" s="16">
        <f>IF($B1434="","",COUNTA($B$4:$B1434))</f>
        <v/>
      </c>
      <c r="B1434" s="71" t="n"/>
      <c r="C1434" s="44" t="n"/>
      <c r="D1434" s="45" t="n"/>
      <c r="E1434" s="45" t="n"/>
      <c r="F1434" s="45" t="n"/>
      <c r="G1434" s="45" t="n"/>
      <c r="H1434" s="45" t="n"/>
      <c r="I1434" s="45" t="n"/>
      <c r="J1434" s="38" t="n"/>
    </row>
    <row r="1435">
      <c r="A1435" s="16">
        <f>IF($B1435="","",COUNTA($B$4:$B1435))</f>
        <v/>
      </c>
      <c r="B1435" s="72" t="n"/>
      <c r="C1435" s="46" t="n"/>
      <c r="D1435" s="47" t="n"/>
      <c r="E1435" s="47" t="n"/>
      <c r="F1435" s="47" t="n"/>
      <c r="G1435" s="47" t="n"/>
      <c r="H1435" s="47" t="n"/>
      <c r="I1435" s="47" t="n"/>
      <c r="J1435" s="40" t="n"/>
    </row>
    <row r="1436">
      <c r="A1436" s="16">
        <f>IF($B1436="","",COUNTA($B$4:$B1436))</f>
        <v/>
      </c>
      <c r="B1436" s="71" t="n"/>
      <c r="C1436" s="44" t="n"/>
      <c r="D1436" s="45" t="n"/>
      <c r="E1436" s="45" t="n"/>
      <c r="F1436" s="45" t="n"/>
      <c r="G1436" s="45" t="n"/>
      <c r="H1436" s="45" t="n"/>
      <c r="I1436" s="45" t="n"/>
      <c r="J1436" s="38" t="n"/>
    </row>
    <row r="1437">
      <c r="A1437" s="16">
        <f>IF($B1437="","",COUNTA($B$4:$B1437))</f>
        <v/>
      </c>
      <c r="B1437" s="72" t="n"/>
      <c r="C1437" s="46" t="n"/>
      <c r="D1437" s="47" t="n"/>
      <c r="E1437" s="47" t="n"/>
      <c r="F1437" s="47" t="n"/>
      <c r="G1437" s="47" t="n"/>
      <c r="H1437" s="47" t="n"/>
      <c r="I1437" s="47" t="n"/>
      <c r="J1437" s="40" t="n"/>
    </row>
    <row r="1438">
      <c r="A1438" s="16">
        <f>IF($B1438="","",COUNTA($B$4:$B1438))</f>
        <v/>
      </c>
      <c r="B1438" s="71" t="n"/>
      <c r="C1438" s="44" t="n"/>
      <c r="D1438" s="45" t="n"/>
      <c r="E1438" s="45" t="n"/>
      <c r="F1438" s="45" t="n"/>
      <c r="G1438" s="45" t="n"/>
      <c r="H1438" s="45" t="n"/>
      <c r="I1438" s="45" t="n"/>
      <c r="J1438" s="38" t="n"/>
    </row>
    <row r="1439">
      <c r="A1439" s="16">
        <f>IF($B1439="","",COUNTA($B$4:$B1439))</f>
        <v/>
      </c>
      <c r="B1439" s="72" t="n"/>
      <c r="C1439" s="46" t="n"/>
      <c r="D1439" s="47" t="n"/>
      <c r="E1439" s="47" t="n"/>
      <c r="F1439" s="47" t="n"/>
      <c r="G1439" s="47" t="n"/>
      <c r="H1439" s="47" t="n"/>
      <c r="I1439" s="47" t="n"/>
      <c r="J1439" s="40" t="n"/>
    </row>
    <row r="1440">
      <c r="A1440" s="16">
        <f>IF($B1440="","",COUNTA($B$4:$B1440))</f>
        <v/>
      </c>
      <c r="B1440" s="71" t="n"/>
      <c r="C1440" s="44" t="n"/>
      <c r="D1440" s="45" t="n"/>
      <c r="E1440" s="45" t="n"/>
      <c r="F1440" s="45" t="n"/>
      <c r="G1440" s="45" t="n"/>
      <c r="H1440" s="45" t="n"/>
      <c r="I1440" s="45" t="n"/>
      <c r="J1440" s="38" t="n"/>
    </row>
    <row r="1441">
      <c r="A1441" s="16">
        <f>IF($B1441="","",COUNTA($B$4:$B1441))</f>
        <v/>
      </c>
      <c r="B1441" s="72" t="n"/>
      <c r="C1441" s="46" t="n"/>
      <c r="D1441" s="47" t="n"/>
      <c r="E1441" s="47" t="n"/>
      <c r="F1441" s="47" t="n"/>
      <c r="G1441" s="47" t="n"/>
      <c r="H1441" s="47" t="n"/>
      <c r="I1441" s="47" t="n"/>
      <c r="J1441" s="40" t="n"/>
    </row>
    <row r="1442">
      <c r="A1442" s="16">
        <f>IF($B1442="","",COUNTA($B$4:$B1442))</f>
        <v/>
      </c>
      <c r="B1442" s="71" t="n"/>
      <c r="C1442" s="44" t="n"/>
      <c r="D1442" s="45" t="n"/>
      <c r="E1442" s="45" t="n"/>
      <c r="F1442" s="45" t="n"/>
      <c r="G1442" s="45" t="n"/>
      <c r="H1442" s="45" t="n"/>
      <c r="I1442" s="45" t="n"/>
      <c r="J1442" s="38" t="n"/>
    </row>
    <row r="1443">
      <c r="A1443" s="16">
        <f>IF($B1443="","",COUNTA($B$4:$B1443))</f>
        <v/>
      </c>
      <c r="B1443" s="72" t="n"/>
      <c r="C1443" s="46" t="n"/>
      <c r="D1443" s="47" t="n"/>
      <c r="E1443" s="47" t="n"/>
      <c r="F1443" s="47" t="n"/>
      <c r="G1443" s="47" t="n"/>
      <c r="H1443" s="47" t="n"/>
      <c r="I1443" s="47" t="n"/>
      <c r="J1443" s="40" t="n"/>
    </row>
    <row r="1444">
      <c r="A1444" s="16">
        <f>IF($B1444="","",COUNTA($B$4:$B1444))</f>
        <v/>
      </c>
      <c r="B1444" s="71" t="n"/>
      <c r="C1444" s="44" t="n"/>
      <c r="D1444" s="45" t="n"/>
      <c r="E1444" s="45" t="n"/>
      <c r="F1444" s="45" t="n"/>
      <c r="G1444" s="45" t="n"/>
      <c r="H1444" s="45" t="n"/>
      <c r="I1444" s="45" t="n"/>
      <c r="J1444" s="38" t="n"/>
    </row>
    <row r="1445">
      <c r="A1445" s="16">
        <f>IF($B1445="","",COUNTA($B$4:$B1445))</f>
        <v/>
      </c>
      <c r="B1445" s="72" t="n"/>
      <c r="C1445" s="46" t="n"/>
      <c r="D1445" s="47" t="n"/>
      <c r="E1445" s="47" t="n"/>
      <c r="F1445" s="47" t="n"/>
      <c r="G1445" s="47" t="n"/>
      <c r="H1445" s="47" t="n"/>
      <c r="I1445" s="47" t="n"/>
      <c r="J1445" s="40" t="n"/>
    </row>
    <row r="1446">
      <c r="A1446" s="16">
        <f>IF($B1446="","",COUNTA($B$4:$B1446))</f>
        <v/>
      </c>
      <c r="B1446" s="71" t="n"/>
      <c r="C1446" s="44" t="n"/>
      <c r="D1446" s="45" t="n"/>
      <c r="E1446" s="45" t="n"/>
      <c r="F1446" s="45" t="n"/>
      <c r="G1446" s="45" t="n"/>
      <c r="H1446" s="45" t="n"/>
      <c r="I1446" s="45" t="n"/>
      <c r="J1446" s="38" t="n"/>
    </row>
    <row r="1447">
      <c r="A1447" s="16">
        <f>IF($B1447="","",COUNTA($B$4:$B1447))</f>
        <v/>
      </c>
      <c r="B1447" s="72" t="n"/>
      <c r="C1447" s="46" t="n"/>
      <c r="D1447" s="47" t="n"/>
      <c r="E1447" s="47" t="n"/>
      <c r="F1447" s="47" t="n"/>
      <c r="G1447" s="47" t="n"/>
      <c r="H1447" s="47" t="n"/>
      <c r="I1447" s="47" t="n"/>
      <c r="J1447" s="40" t="n"/>
    </row>
    <row r="1448">
      <c r="A1448" s="16">
        <f>IF($B1448="","",COUNTA($B$4:$B1448))</f>
        <v/>
      </c>
      <c r="B1448" s="71" t="n"/>
      <c r="C1448" s="44" t="n"/>
      <c r="D1448" s="45" t="n"/>
      <c r="E1448" s="45" t="n"/>
      <c r="F1448" s="45" t="n"/>
      <c r="G1448" s="45" t="n"/>
      <c r="H1448" s="45" t="n"/>
      <c r="I1448" s="45" t="n"/>
      <c r="J1448" s="38" t="n"/>
    </row>
    <row r="1449">
      <c r="A1449" s="16">
        <f>IF($B1449="","",COUNTA($B$4:$B1449))</f>
        <v/>
      </c>
      <c r="B1449" s="72" t="n"/>
      <c r="C1449" s="46" t="n"/>
      <c r="D1449" s="47" t="n"/>
      <c r="E1449" s="47" t="n"/>
      <c r="F1449" s="47" t="n"/>
      <c r="G1449" s="47" t="n"/>
      <c r="H1449" s="47" t="n"/>
      <c r="I1449" s="47" t="n"/>
      <c r="J1449" s="40" t="n"/>
    </row>
    <row r="1450">
      <c r="A1450" s="16">
        <f>IF($B1450="","",COUNTA($B$4:$B1450))</f>
        <v/>
      </c>
      <c r="B1450" s="71" t="n"/>
      <c r="C1450" s="44" t="n"/>
      <c r="D1450" s="45" t="n"/>
      <c r="E1450" s="45" t="n"/>
      <c r="F1450" s="45" t="n"/>
      <c r="G1450" s="45" t="n"/>
      <c r="H1450" s="45" t="n"/>
      <c r="I1450" s="45" t="n"/>
      <c r="J1450" s="38" t="n"/>
    </row>
    <row r="1451">
      <c r="A1451" s="16">
        <f>IF($B1451="","",COUNTA($B$4:$B1451))</f>
        <v/>
      </c>
      <c r="B1451" s="72" t="n"/>
      <c r="C1451" s="46" t="n"/>
      <c r="D1451" s="47" t="n"/>
      <c r="E1451" s="47" t="n"/>
      <c r="F1451" s="47" t="n"/>
      <c r="G1451" s="47" t="n"/>
      <c r="H1451" s="47" t="n"/>
      <c r="I1451" s="47" t="n"/>
      <c r="J1451" s="40" t="n"/>
    </row>
    <row r="1452">
      <c r="A1452" s="16">
        <f>IF($B1452="","",COUNTA($B$4:$B1452))</f>
        <v/>
      </c>
      <c r="B1452" s="71" t="n"/>
      <c r="C1452" s="44" t="n"/>
      <c r="D1452" s="45" t="n"/>
      <c r="E1452" s="45" t="n"/>
      <c r="F1452" s="45" t="n"/>
      <c r="G1452" s="45" t="n"/>
      <c r="H1452" s="45" t="n"/>
      <c r="I1452" s="45" t="n"/>
      <c r="J1452" s="38" t="n"/>
    </row>
    <row r="1453">
      <c r="A1453" s="16">
        <f>IF($B1453="","",COUNTA($B$4:$B1453))</f>
        <v/>
      </c>
      <c r="B1453" s="72" t="n"/>
      <c r="C1453" s="46" t="n"/>
      <c r="D1453" s="47" t="n"/>
      <c r="E1453" s="47" t="n"/>
      <c r="F1453" s="47" t="n"/>
      <c r="G1453" s="47" t="n"/>
      <c r="H1453" s="47" t="n"/>
      <c r="I1453" s="47" t="n"/>
      <c r="J1453" s="40" t="n"/>
    </row>
    <row r="1454">
      <c r="A1454" s="16">
        <f>IF($B1454="","",COUNTA($B$4:$B1454))</f>
        <v/>
      </c>
      <c r="B1454" s="71" t="n"/>
      <c r="C1454" s="44" t="n"/>
      <c r="D1454" s="45" t="n"/>
      <c r="E1454" s="45" t="n"/>
      <c r="F1454" s="45" t="n"/>
      <c r="G1454" s="45" t="n"/>
      <c r="H1454" s="45" t="n"/>
      <c r="I1454" s="45" t="n"/>
      <c r="J1454" s="38" t="n"/>
    </row>
    <row r="1455">
      <c r="A1455" s="16">
        <f>IF($B1455="","",COUNTA($B$4:$B1455))</f>
        <v/>
      </c>
      <c r="B1455" s="72" t="n"/>
      <c r="C1455" s="46" t="n"/>
      <c r="D1455" s="47" t="n"/>
      <c r="E1455" s="47" t="n"/>
      <c r="F1455" s="47" t="n"/>
      <c r="G1455" s="47" t="n"/>
      <c r="H1455" s="47" t="n"/>
      <c r="I1455" s="47" t="n"/>
      <c r="J1455" s="40" t="n"/>
    </row>
    <row r="1456">
      <c r="A1456" s="16">
        <f>IF($B1456="","",COUNTA($B$4:$B1456))</f>
        <v/>
      </c>
      <c r="B1456" s="71" t="n"/>
      <c r="C1456" s="44" t="n"/>
      <c r="D1456" s="45" t="n"/>
      <c r="E1456" s="45" t="n"/>
      <c r="F1456" s="45" t="n"/>
      <c r="G1456" s="45" t="n"/>
      <c r="H1456" s="45" t="n"/>
      <c r="I1456" s="45" t="n"/>
      <c r="J1456" s="38" t="n"/>
    </row>
    <row r="1457">
      <c r="A1457" s="16">
        <f>IF($B1457="","",COUNTA($B$4:$B1457))</f>
        <v/>
      </c>
      <c r="B1457" s="72" t="n"/>
      <c r="C1457" s="46" t="n"/>
      <c r="D1457" s="47" t="n"/>
      <c r="E1457" s="47" t="n"/>
      <c r="F1457" s="47" t="n"/>
      <c r="G1457" s="47" t="n"/>
      <c r="H1457" s="47" t="n"/>
      <c r="I1457" s="47" t="n"/>
      <c r="J1457" s="40" t="n"/>
    </row>
    <row r="1458">
      <c r="A1458" s="16">
        <f>IF($B1458="","",COUNTA($B$4:$B1458))</f>
        <v/>
      </c>
      <c r="B1458" s="71" t="n"/>
      <c r="C1458" s="44" t="n"/>
      <c r="D1458" s="45" t="n"/>
      <c r="E1458" s="45" t="n"/>
      <c r="F1458" s="45" t="n"/>
      <c r="G1458" s="45" t="n"/>
      <c r="H1458" s="45" t="n"/>
      <c r="I1458" s="45" t="n"/>
      <c r="J1458" s="38" t="n"/>
    </row>
    <row r="1459">
      <c r="A1459" s="16">
        <f>IF($B1459="","",COUNTA($B$4:$B1459))</f>
        <v/>
      </c>
      <c r="B1459" s="72" t="n"/>
      <c r="C1459" s="46" t="n"/>
      <c r="D1459" s="47" t="n"/>
      <c r="E1459" s="47" t="n"/>
      <c r="F1459" s="47" t="n"/>
      <c r="G1459" s="47" t="n"/>
      <c r="H1459" s="47" t="n"/>
      <c r="I1459" s="47" t="n"/>
      <c r="J1459" s="40" t="n"/>
    </row>
    <row r="1460">
      <c r="A1460" s="16">
        <f>IF($B1460="","",COUNTA($B$4:$B1460))</f>
        <v/>
      </c>
      <c r="B1460" s="71" t="n"/>
      <c r="C1460" s="44" t="n"/>
      <c r="D1460" s="45" t="n"/>
      <c r="E1460" s="45" t="n"/>
      <c r="F1460" s="45" t="n"/>
      <c r="G1460" s="45" t="n"/>
      <c r="H1460" s="45" t="n"/>
      <c r="I1460" s="45" t="n"/>
      <c r="J1460" s="38" t="n"/>
    </row>
    <row r="1461">
      <c r="A1461" s="16">
        <f>IF($B1461="","",COUNTA($B$4:$B1461))</f>
        <v/>
      </c>
      <c r="B1461" s="72" t="n"/>
      <c r="C1461" s="46" t="n"/>
      <c r="D1461" s="47" t="n"/>
      <c r="E1461" s="47" t="n"/>
      <c r="F1461" s="47" t="n"/>
      <c r="G1461" s="47" t="n"/>
      <c r="H1461" s="47" t="n"/>
      <c r="I1461" s="47" t="n"/>
      <c r="J1461" s="40" t="n"/>
    </row>
    <row r="1462">
      <c r="A1462" s="16">
        <f>IF($B1462="","",COUNTA($B$4:$B1462))</f>
        <v/>
      </c>
      <c r="B1462" s="71" t="n"/>
      <c r="C1462" s="44" t="n"/>
      <c r="D1462" s="45" t="n"/>
      <c r="E1462" s="45" t="n"/>
      <c r="F1462" s="45" t="n"/>
      <c r="G1462" s="45" t="n"/>
      <c r="H1462" s="45" t="n"/>
      <c r="I1462" s="45" t="n"/>
      <c r="J1462" s="38" t="n"/>
    </row>
    <row r="1463">
      <c r="A1463" s="16">
        <f>IF($B1463="","",COUNTA($B$4:$B1463))</f>
        <v/>
      </c>
      <c r="B1463" s="72" t="n"/>
      <c r="C1463" s="46" t="n"/>
      <c r="D1463" s="47" t="n"/>
      <c r="E1463" s="47" t="n"/>
      <c r="F1463" s="47" t="n"/>
      <c r="G1463" s="47" t="n"/>
      <c r="H1463" s="47" t="n"/>
      <c r="I1463" s="47" t="n"/>
      <c r="J1463" s="40" t="n"/>
    </row>
    <row r="1464">
      <c r="A1464" s="16">
        <f>IF($B1464="","",COUNTA($B$4:$B1464))</f>
        <v/>
      </c>
      <c r="B1464" s="71" t="n"/>
      <c r="C1464" s="44" t="n"/>
      <c r="D1464" s="45" t="n"/>
      <c r="E1464" s="45" t="n"/>
      <c r="F1464" s="45" t="n"/>
      <c r="G1464" s="45" t="n"/>
      <c r="H1464" s="45" t="n"/>
      <c r="I1464" s="45" t="n"/>
      <c r="J1464" s="38" t="n"/>
    </row>
    <row r="1465">
      <c r="A1465" s="16">
        <f>IF($B1465="","",COUNTA($B$4:$B1465))</f>
        <v/>
      </c>
      <c r="B1465" s="72" t="n"/>
      <c r="C1465" s="46" t="n"/>
      <c r="D1465" s="47" t="n"/>
      <c r="E1465" s="47" t="n"/>
      <c r="F1465" s="47" t="n"/>
      <c r="G1465" s="47" t="n"/>
      <c r="H1465" s="47" t="n"/>
      <c r="I1465" s="47" t="n"/>
      <c r="J1465" s="40" t="n"/>
    </row>
    <row r="1466">
      <c r="A1466" s="16">
        <f>IF($B1466="","",COUNTA($B$4:$B1466))</f>
        <v/>
      </c>
      <c r="B1466" s="71" t="n"/>
      <c r="C1466" s="44" t="n"/>
      <c r="D1466" s="45" t="n"/>
      <c r="E1466" s="45" t="n"/>
      <c r="F1466" s="45" t="n"/>
      <c r="G1466" s="45" t="n"/>
      <c r="H1466" s="45" t="n"/>
      <c r="I1466" s="45" t="n"/>
      <c r="J1466" s="38" t="n"/>
    </row>
    <row r="1467">
      <c r="A1467" s="16">
        <f>IF($B1467="","",COUNTA($B$4:$B1467))</f>
        <v/>
      </c>
      <c r="B1467" s="72" t="n"/>
      <c r="C1467" s="46" t="n"/>
      <c r="D1467" s="47" t="n"/>
      <c r="E1467" s="47" t="n"/>
      <c r="F1467" s="47" t="n"/>
      <c r="G1467" s="47" t="n"/>
      <c r="H1467" s="47" t="n"/>
      <c r="I1467" s="47" t="n"/>
      <c r="J1467" s="40" t="n"/>
    </row>
    <row r="1468">
      <c r="A1468" s="16">
        <f>IF($B1468="","",COUNTA($B$4:$B1468))</f>
        <v/>
      </c>
      <c r="B1468" s="71" t="n"/>
      <c r="C1468" s="44" t="n"/>
      <c r="D1468" s="45" t="n"/>
      <c r="E1468" s="45" t="n"/>
      <c r="F1468" s="45" t="n"/>
      <c r="G1468" s="45" t="n"/>
      <c r="H1468" s="45" t="n"/>
      <c r="I1468" s="45" t="n"/>
      <c r="J1468" s="38" t="n"/>
    </row>
    <row r="1469">
      <c r="A1469" s="16">
        <f>IF($B1469="","",COUNTA($B$4:$B1469))</f>
        <v/>
      </c>
      <c r="B1469" s="72" t="n"/>
      <c r="C1469" s="46" t="n"/>
      <c r="D1469" s="47" t="n"/>
      <c r="E1469" s="47" t="n"/>
      <c r="F1469" s="47" t="n"/>
      <c r="G1469" s="47" t="n"/>
      <c r="H1469" s="47" t="n"/>
      <c r="I1469" s="47" t="n"/>
      <c r="J1469" s="40" t="n"/>
    </row>
    <row r="1470">
      <c r="A1470" s="16">
        <f>IF($B1470="","",COUNTA($B$4:$B1470))</f>
        <v/>
      </c>
      <c r="B1470" s="71" t="n"/>
      <c r="C1470" s="44" t="n"/>
      <c r="D1470" s="45" t="n"/>
      <c r="E1470" s="45" t="n"/>
      <c r="F1470" s="45" t="n"/>
      <c r="G1470" s="45" t="n"/>
      <c r="H1470" s="45" t="n"/>
      <c r="I1470" s="45" t="n"/>
      <c r="J1470" s="38" t="n"/>
    </row>
    <row r="1471">
      <c r="A1471" s="16">
        <f>IF($B1471="","",COUNTA($B$4:$B1471))</f>
        <v/>
      </c>
      <c r="B1471" s="72" t="n"/>
      <c r="C1471" s="46" t="n"/>
      <c r="D1471" s="47" t="n"/>
      <c r="E1471" s="47" t="n"/>
      <c r="F1471" s="47" t="n"/>
      <c r="G1471" s="47" t="n"/>
      <c r="H1471" s="47" t="n"/>
      <c r="I1471" s="47" t="n"/>
      <c r="J1471" s="40" t="n"/>
    </row>
    <row r="1472">
      <c r="A1472" s="16">
        <f>IF($B1472="","",COUNTA($B$4:$B1472))</f>
        <v/>
      </c>
      <c r="B1472" s="71" t="n"/>
      <c r="C1472" s="44" t="n"/>
      <c r="D1472" s="45" t="n"/>
      <c r="E1472" s="45" t="n"/>
      <c r="F1472" s="45" t="n"/>
      <c r="G1472" s="45" t="n"/>
      <c r="H1472" s="45" t="n"/>
      <c r="I1472" s="45" t="n"/>
      <c r="J1472" s="38" t="n"/>
    </row>
    <row r="1473">
      <c r="A1473" s="16">
        <f>IF($B1473="","",COUNTA($B$4:$B1473))</f>
        <v/>
      </c>
      <c r="B1473" s="72" t="n"/>
      <c r="C1473" s="46" t="n"/>
      <c r="D1473" s="47" t="n"/>
      <c r="E1473" s="47" t="n"/>
      <c r="F1473" s="47" t="n"/>
      <c r="G1473" s="47" t="n"/>
      <c r="H1473" s="47" t="n"/>
      <c r="I1473" s="47" t="n"/>
      <c r="J1473" s="40" t="n"/>
    </row>
    <row r="1474">
      <c r="A1474" s="16">
        <f>IF($B1474="","",COUNTA($B$4:$B1474))</f>
        <v/>
      </c>
      <c r="B1474" s="71" t="n"/>
      <c r="C1474" s="44" t="n"/>
      <c r="D1474" s="45" t="n"/>
      <c r="E1474" s="45" t="n"/>
      <c r="F1474" s="45" t="n"/>
      <c r="G1474" s="45" t="n"/>
      <c r="H1474" s="45" t="n"/>
      <c r="I1474" s="45" t="n"/>
      <c r="J1474" s="38" t="n"/>
    </row>
    <row r="1475">
      <c r="A1475" s="16">
        <f>IF($B1475="","",COUNTA($B$4:$B1475))</f>
        <v/>
      </c>
      <c r="B1475" s="72" t="n"/>
      <c r="C1475" s="46" t="n"/>
      <c r="D1475" s="47" t="n"/>
      <c r="E1475" s="47" t="n"/>
      <c r="F1475" s="47" t="n"/>
      <c r="G1475" s="47" t="n"/>
      <c r="H1475" s="47" t="n"/>
      <c r="I1475" s="47" t="n"/>
      <c r="J1475" s="40" t="n"/>
    </row>
    <row r="1476">
      <c r="A1476" s="16">
        <f>IF($B1476="","",COUNTA($B$4:$B1476))</f>
        <v/>
      </c>
      <c r="B1476" s="71" t="n"/>
      <c r="C1476" s="44" t="n"/>
      <c r="D1476" s="45" t="n"/>
      <c r="E1476" s="45" t="n"/>
      <c r="F1476" s="45" t="n"/>
      <c r="G1476" s="45" t="n"/>
      <c r="H1476" s="45" t="n"/>
      <c r="I1476" s="45" t="n"/>
      <c r="J1476" s="38" t="n"/>
    </row>
    <row r="1477">
      <c r="A1477" s="16">
        <f>IF($B1477="","",COUNTA($B$4:$B1477))</f>
        <v/>
      </c>
      <c r="B1477" s="72" t="n"/>
      <c r="C1477" s="46" t="n"/>
      <c r="D1477" s="47" t="n"/>
      <c r="E1477" s="47" t="n"/>
      <c r="F1477" s="47" t="n"/>
      <c r="G1477" s="47" t="n"/>
      <c r="H1477" s="47" t="n"/>
      <c r="I1477" s="47" t="n"/>
      <c r="J1477" s="40" t="n"/>
    </row>
    <row r="1478">
      <c r="A1478" s="16">
        <f>IF($B1478="","",COUNTA($B$4:$B1478))</f>
        <v/>
      </c>
      <c r="B1478" s="71" t="n"/>
      <c r="C1478" s="44" t="n"/>
      <c r="D1478" s="45" t="n"/>
      <c r="E1478" s="45" t="n"/>
      <c r="F1478" s="45" t="n"/>
      <c r="G1478" s="45" t="n"/>
      <c r="H1478" s="45" t="n"/>
      <c r="I1478" s="45" t="n"/>
      <c r="J1478" s="38" t="n"/>
    </row>
    <row r="1479">
      <c r="A1479" s="16">
        <f>IF($B1479="","",COUNTA($B$4:$B1479))</f>
        <v/>
      </c>
      <c r="B1479" s="72" t="n"/>
      <c r="C1479" s="46" t="n"/>
      <c r="D1479" s="47" t="n"/>
      <c r="E1479" s="47" t="n"/>
      <c r="F1479" s="47" t="n"/>
      <c r="G1479" s="47" t="n"/>
      <c r="H1479" s="47" t="n"/>
      <c r="I1479" s="47" t="n"/>
      <c r="J1479" s="40" t="n"/>
    </row>
    <row r="1480">
      <c r="A1480" s="16">
        <f>IF($B1480="","",COUNTA($B$4:$B1480))</f>
        <v/>
      </c>
      <c r="B1480" s="71" t="n"/>
      <c r="C1480" s="44" t="n"/>
      <c r="D1480" s="45" t="n"/>
      <c r="E1480" s="45" t="n"/>
      <c r="F1480" s="45" t="n"/>
      <c r="G1480" s="45" t="n"/>
      <c r="H1480" s="45" t="n"/>
      <c r="I1480" s="45" t="n"/>
      <c r="J1480" s="38" t="n"/>
    </row>
    <row r="1481">
      <c r="A1481" s="16">
        <f>IF($B1481="","",COUNTA($B$4:$B1481))</f>
        <v/>
      </c>
      <c r="B1481" s="72" t="n"/>
      <c r="C1481" s="46" t="n"/>
      <c r="D1481" s="47" t="n"/>
      <c r="E1481" s="47" t="n"/>
      <c r="F1481" s="47" t="n"/>
      <c r="G1481" s="47" t="n"/>
      <c r="H1481" s="47" t="n"/>
      <c r="I1481" s="47" t="n"/>
      <c r="J1481" s="40" t="n"/>
    </row>
    <row r="1482">
      <c r="A1482" s="16">
        <f>IF($B1482="","",COUNTA($B$4:$B1482))</f>
        <v/>
      </c>
      <c r="B1482" s="71" t="n"/>
      <c r="C1482" s="44" t="n"/>
      <c r="D1482" s="45" t="n"/>
      <c r="E1482" s="45" t="n"/>
      <c r="F1482" s="45" t="n"/>
      <c r="G1482" s="45" t="n"/>
      <c r="H1482" s="45" t="n"/>
      <c r="I1482" s="45" t="n"/>
      <c r="J1482" s="38" t="n"/>
    </row>
    <row r="1483">
      <c r="A1483" s="16">
        <f>IF($B1483="","",COUNTA($B$4:$B1483))</f>
        <v/>
      </c>
      <c r="B1483" s="72" t="n"/>
      <c r="C1483" s="46" t="n"/>
      <c r="D1483" s="47" t="n"/>
      <c r="E1483" s="47" t="n"/>
      <c r="F1483" s="47" t="n"/>
      <c r="G1483" s="47" t="n"/>
      <c r="H1483" s="47" t="n"/>
      <c r="I1483" s="47" t="n"/>
      <c r="J1483" s="40" t="n"/>
    </row>
    <row r="1484">
      <c r="A1484" s="16">
        <f>IF($B1484="","",COUNTA($B$4:$B1484))</f>
        <v/>
      </c>
      <c r="B1484" s="71" t="n"/>
      <c r="C1484" s="44" t="n"/>
      <c r="D1484" s="45" t="n"/>
      <c r="E1484" s="45" t="n"/>
      <c r="F1484" s="45" t="n"/>
      <c r="G1484" s="45" t="n"/>
      <c r="H1484" s="45" t="n"/>
      <c r="I1484" s="45" t="n"/>
      <c r="J1484" s="38" t="n"/>
    </row>
    <row r="1485">
      <c r="A1485" s="16">
        <f>IF($B1485="","",COUNTA($B$4:$B1485))</f>
        <v/>
      </c>
      <c r="B1485" s="72" t="n"/>
      <c r="C1485" s="46" t="n"/>
      <c r="D1485" s="47" t="n"/>
      <c r="E1485" s="47" t="n"/>
      <c r="F1485" s="47" t="n"/>
      <c r="G1485" s="47" t="n"/>
      <c r="H1485" s="47" t="n"/>
      <c r="I1485" s="47" t="n"/>
      <c r="J1485" s="40" t="n"/>
    </row>
    <row r="1486">
      <c r="A1486" s="16">
        <f>IF($B1486="","",COUNTA($B$4:$B1486))</f>
        <v/>
      </c>
      <c r="B1486" s="71" t="n"/>
      <c r="C1486" s="44" t="n"/>
      <c r="D1486" s="45" t="n"/>
      <c r="E1486" s="45" t="n"/>
      <c r="F1486" s="45" t="n"/>
      <c r="G1486" s="45" t="n"/>
      <c r="H1486" s="45" t="n"/>
      <c r="I1486" s="45" t="n"/>
      <c r="J1486" s="38" t="n"/>
    </row>
    <row r="1487">
      <c r="A1487" s="16">
        <f>IF($B1487="","",COUNTA($B$4:$B1487))</f>
        <v/>
      </c>
      <c r="B1487" s="72" t="n"/>
      <c r="C1487" s="46" t="n"/>
      <c r="D1487" s="47" t="n"/>
      <c r="E1487" s="47" t="n"/>
      <c r="F1487" s="47" t="n"/>
      <c r="G1487" s="47" t="n"/>
      <c r="H1487" s="47" t="n"/>
      <c r="I1487" s="47" t="n"/>
      <c r="J1487" s="40" t="n"/>
    </row>
    <row r="1488">
      <c r="A1488" s="16">
        <f>IF($B1488="","",COUNTA($B$4:$B1488))</f>
        <v/>
      </c>
      <c r="B1488" s="71" t="n"/>
      <c r="C1488" s="44" t="n"/>
      <c r="D1488" s="45" t="n"/>
      <c r="E1488" s="45" t="n"/>
      <c r="F1488" s="45" t="n"/>
      <c r="G1488" s="45" t="n"/>
      <c r="H1488" s="45" t="n"/>
      <c r="I1488" s="45" t="n"/>
      <c r="J1488" s="38" t="n"/>
    </row>
    <row r="1489">
      <c r="A1489" s="16">
        <f>IF($B1489="","",COUNTA($B$4:$B1489))</f>
        <v/>
      </c>
      <c r="B1489" s="72" t="n"/>
      <c r="C1489" s="46" t="n"/>
      <c r="D1489" s="47" t="n"/>
      <c r="E1489" s="47" t="n"/>
      <c r="F1489" s="47" t="n"/>
      <c r="G1489" s="47" t="n"/>
      <c r="H1489" s="47" t="n"/>
      <c r="I1489" s="47" t="n"/>
      <c r="J1489" s="40" t="n"/>
    </row>
    <row r="1490">
      <c r="A1490" s="16">
        <f>IF($B1490="","",COUNTA($B$4:$B1490))</f>
        <v/>
      </c>
      <c r="B1490" s="71" t="n"/>
      <c r="C1490" s="44" t="n"/>
      <c r="D1490" s="45" t="n"/>
      <c r="E1490" s="45" t="n"/>
      <c r="F1490" s="45" t="n"/>
      <c r="G1490" s="45" t="n"/>
      <c r="H1490" s="45" t="n"/>
      <c r="I1490" s="45" t="n"/>
      <c r="J1490" s="38" t="n"/>
    </row>
    <row r="1491">
      <c r="A1491" s="16">
        <f>IF($B1491="","",COUNTA($B$4:$B1491))</f>
        <v/>
      </c>
      <c r="B1491" s="72" t="n"/>
      <c r="C1491" s="46" t="n"/>
      <c r="D1491" s="47" t="n"/>
      <c r="E1491" s="47" t="n"/>
      <c r="F1491" s="47" t="n"/>
      <c r="G1491" s="47" t="n"/>
      <c r="H1491" s="47" t="n"/>
      <c r="I1491" s="47" t="n"/>
      <c r="J1491" s="40" t="n"/>
    </row>
    <row r="1492">
      <c r="A1492" s="16">
        <f>IF($B1492="","",COUNTA($B$4:$B1492))</f>
        <v/>
      </c>
      <c r="B1492" s="71" t="n"/>
      <c r="C1492" s="44" t="n"/>
      <c r="D1492" s="45" t="n"/>
      <c r="E1492" s="45" t="n"/>
      <c r="F1492" s="45" t="n"/>
      <c r="G1492" s="45" t="n"/>
      <c r="H1492" s="45" t="n"/>
      <c r="I1492" s="45" t="n"/>
      <c r="J1492" s="38" t="n"/>
    </row>
    <row r="1493">
      <c r="A1493" s="16">
        <f>IF($B1493="","",COUNTA($B$4:$B1493))</f>
        <v/>
      </c>
      <c r="B1493" s="72" t="n"/>
      <c r="C1493" s="46" t="n"/>
      <c r="D1493" s="47" t="n"/>
      <c r="E1493" s="47" t="n"/>
      <c r="F1493" s="47" t="n"/>
      <c r="G1493" s="47" t="n"/>
      <c r="H1493" s="47" t="n"/>
      <c r="I1493" s="47" t="n"/>
      <c r="J1493" s="40" t="n"/>
    </row>
    <row r="1494">
      <c r="A1494" s="16">
        <f>IF($B1494="","",COUNTA($B$4:$B1494))</f>
        <v/>
      </c>
      <c r="B1494" s="71" t="n"/>
      <c r="C1494" s="44" t="n"/>
      <c r="D1494" s="45" t="n"/>
      <c r="E1494" s="45" t="n"/>
      <c r="F1494" s="45" t="n"/>
      <c r="G1494" s="45" t="n"/>
      <c r="H1494" s="45" t="n"/>
      <c r="I1494" s="45" t="n"/>
      <c r="J1494" s="38" t="n"/>
    </row>
    <row r="1495">
      <c r="A1495" s="16">
        <f>IF($B1495="","",COUNTA($B$4:$B1495))</f>
        <v/>
      </c>
      <c r="B1495" s="72" t="n"/>
      <c r="C1495" s="46" t="n"/>
      <c r="D1495" s="47" t="n"/>
      <c r="E1495" s="47" t="n"/>
      <c r="F1495" s="47" t="n"/>
      <c r="G1495" s="47" t="n"/>
      <c r="H1495" s="47" t="n"/>
      <c r="I1495" s="47" t="n"/>
      <c r="J1495" s="40" t="n"/>
    </row>
    <row r="1496">
      <c r="A1496" s="16">
        <f>IF($B1496="","",COUNTA($B$4:$B1496))</f>
        <v/>
      </c>
      <c r="B1496" s="71" t="n"/>
      <c r="C1496" s="44" t="n"/>
      <c r="D1496" s="45" t="n"/>
      <c r="E1496" s="45" t="n"/>
      <c r="F1496" s="45" t="n"/>
      <c r="G1496" s="45" t="n"/>
      <c r="H1496" s="45" t="n"/>
      <c r="I1496" s="45" t="n"/>
      <c r="J1496" s="38" t="n"/>
    </row>
    <row r="1497">
      <c r="A1497" s="16">
        <f>IF($B1497="","",COUNTA($B$4:$B1497))</f>
        <v/>
      </c>
      <c r="B1497" s="72" t="n"/>
      <c r="C1497" s="46" t="n"/>
      <c r="D1497" s="47" t="n"/>
      <c r="E1497" s="47" t="n"/>
      <c r="F1497" s="47" t="n"/>
      <c r="G1497" s="47" t="n"/>
      <c r="H1497" s="47" t="n"/>
      <c r="I1497" s="47" t="n"/>
      <c r="J1497" s="40" t="n"/>
    </row>
    <row r="1498">
      <c r="A1498" s="16">
        <f>IF($B1498="","",COUNTA($B$4:$B1498))</f>
        <v/>
      </c>
      <c r="B1498" s="71" t="n"/>
      <c r="C1498" s="44" t="n"/>
      <c r="D1498" s="45" t="n"/>
      <c r="E1498" s="45" t="n"/>
      <c r="F1498" s="45" t="n"/>
      <c r="G1498" s="45" t="n"/>
      <c r="H1498" s="45" t="n"/>
      <c r="I1498" s="45" t="n"/>
      <c r="J1498" s="38" t="n"/>
    </row>
    <row r="1499">
      <c r="A1499" s="16">
        <f>IF($B1499="","",COUNTA($B$4:$B1499))</f>
        <v/>
      </c>
      <c r="B1499" s="72" t="n"/>
      <c r="C1499" s="46" t="n"/>
      <c r="D1499" s="47" t="n"/>
      <c r="E1499" s="47" t="n"/>
      <c r="F1499" s="47" t="n"/>
      <c r="G1499" s="47" t="n"/>
      <c r="H1499" s="47" t="n"/>
      <c r="I1499" s="47" t="n"/>
      <c r="J1499" s="40" t="n"/>
    </row>
    <row r="1500">
      <c r="A1500" s="16">
        <f>IF($B1500="","",COUNTA($B$4:$B1500))</f>
        <v/>
      </c>
      <c r="B1500" s="71" t="n"/>
      <c r="C1500" s="44" t="n"/>
      <c r="D1500" s="45" t="n"/>
      <c r="E1500" s="45" t="n"/>
      <c r="F1500" s="45" t="n"/>
      <c r="G1500" s="45" t="n"/>
      <c r="H1500" s="45" t="n"/>
      <c r="I1500" s="45" t="n"/>
      <c r="J1500" s="38" t="n"/>
    </row>
    <row r="1501">
      <c r="A1501" s="16">
        <f>IF($B1501="","",COUNTA($B$4:$B1501))</f>
        <v/>
      </c>
      <c r="B1501" s="72" t="n"/>
      <c r="C1501" s="46" t="n"/>
      <c r="D1501" s="47" t="n"/>
      <c r="E1501" s="47" t="n"/>
      <c r="F1501" s="47" t="n"/>
      <c r="G1501" s="47" t="n"/>
      <c r="H1501" s="47" t="n"/>
      <c r="I1501" s="47" t="n"/>
      <c r="J1501" s="40" t="n"/>
    </row>
    <row r="1502">
      <c r="A1502" s="16">
        <f>IF($B1502="","",COUNTA($B$4:$B1502))</f>
        <v/>
      </c>
      <c r="B1502" s="71" t="n"/>
      <c r="C1502" s="44" t="n"/>
      <c r="D1502" s="45" t="n"/>
      <c r="E1502" s="45" t="n"/>
      <c r="F1502" s="45" t="n"/>
      <c r="G1502" s="45" t="n"/>
      <c r="H1502" s="45" t="n"/>
      <c r="I1502" s="45" t="n"/>
      <c r="J1502" s="38" t="n"/>
    </row>
    <row r="1503">
      <c r="A1503" s="16">
        <f>IF($B1503="","",COUNTA($B$4:$B1503))</f>
        <v/>
      </c>
      <c r="B1503" s="72" t="n"/>
      <c r="C1503" s="46" t="n"/>
      <c r="D1503" s="47" t="n"/>
      <c r="E1503" s="47" t="n"/>
      <c r="F1503" s="47" t="n"/>
      <c r="G1503" s="47" t="n"/>
      <c r="H1503" s="47" t="n"/>
      <c r="I1503" s="47" t="n"/>
      <c r="J1503" s="40" t="n"/>
    </row>
    <row r="1504">
      <c r="A1504" s="16">
        <f>IF($B1504="","",COUNTA($B$4:$B1504))</f>
        <v/>
      </c>
      <c r="B1504" s="71" t="n"/>
      <c r="C1504" s="44" t="n"/>
      <c r="D1504" s="45" t="n"/>
      <c r="E1504" s="45" t="n"/>
      <c r="F1504" s="45" t="n"/>
      <c r="G1504" s="45" t="n"/>
      <c r="H1504" s="45" t="n"/>
      <c r="I1504" s="45" t="n"/>
      <c r="J1504" s="38" t="n"/>
    </row>
    <row r="1505">
      <c r="A1505" s="16">
        <f>IF($B1505="","",COUNTA($B$4:$B1505))</f>
        <v/>
      </c>
      <c r="B1505" s="72" t="n"/>
      <c r="C1505" s="46" t="n"/>
      <c r="D1505" s="47" t="n"/>
      <c r="E1505" s="47" t="n"/>
      <c r="F1505" s="47" t="n"/>
      <c r="G1505" s="47" t="n"/>
      <c r="H1505" s="47" t="n"/>
      <c r="I1505" s="47" t="n"/>
      <c r="J1505" s="40" t="n"/>
    </row>
    <row r="1506">
      <c r="A1506" s="16">
        <f>IF($B1506="","",COUNTA($B$4:$B1506))</f>
        <v/>
      </c>
      <c r="B1506" s="71" t="n"/>
      <c r="C1506" s="44" t="n"/>
      <c r="D1506" s="45" t="n"/>
      <c r="E1506" s="45" t="n"/>
      <c r="F1506" s="45" t="n"/>
      <c r="G1506" s="45" t="n"/>
      <c r="H1506" s="45" t="n"/>
      <c r="I1506" s="45" t="n"/>
      <c r="J1506" s="38" t="n"/>
    </row>
    <row r="1507">
      <c r="A1507" s="16">
        <f>IF($B1507="","",COUNTA($B$4:$B1507))</f>
        <v/>
      </c>
      <c r="B1507" s="72" t="n"/>
      <c r="C1507" s="46" t="n"/>
      <c r="D1507" s="47" t="n"/>
      <c r="E1507" s="47" t="n"/>
      <c r="F1507" s="47" t="n"/>
      <c r="G1507" s="47" t="n"/>
      <c r="H1507" s="47" t="n"/>
      <c r="I1507" s="47" t="n"/>
      <c r="J1507" s="40" t="n"/>
    </row>
    <row r="1508">
      <c r="A1508" s="16">
        <f>IF($B1508="","",COUNTA($B$4:$B1508))</f>
        <v/>
      </c>
      <c r="B1508" s="71" t="n"/>
      <c r="C1508" s="44" t="n"/>
      <c r="D1508" s="45" t="n"/>
      <c r="E1508" s="45" t="n"/>
      <c r="F1508" s="45" t="n"/>
      <c r="G1508" s="45" t="n"/>
      <c r="H1508" s="45" t="n"/>
      <c r="I1508" s="45" t="n"/>
      <c r="J1508" s="38" t="n"/>
    </row>
    <row r="1509">
      <c r="A1509" s="16">
        <f>IF($B1509="","",COUNTA($B$4:$B1509))</f>
        <v/>
      </c>
      <c r="B1509" s="72" t="n"/>
      <c r="C1509" s="46" t="n"/>
      <c r="D1509" s="47" t="n"/>
      <c r="E1509" s="47" t="n"/>
      <c r="F1509" s="47" t="n"/>
      <c r="G1509" s="47" t="n"/>
      <c r="H1509" s="47" t="n"/>
      <c r="I1509" s="47" t="n"/>
      <c r="J1509" s="40" t="n"/>
    </row>
    <row r="1510">
      <c r="A1510" s="16">
        <f>IF($B1510="","",COUNTA($B$4:$B1510))</f>
        <v/>
      </c>
      <c r="B1510" s="71" t="n"/>
      <c r="C1510" s="44" t="n"/>
      <c r="D1510" s="45" t="n"/>
      <c r="E1510" s="45" t="n"/>
      <c r="F1510" s="45" t="n"/>
      <c r="G1510" s="45" t="n"/>
      <c r="H1510" s="45" t="n"/>
      <c r="I1510" s="45" t="n"/>
      <c r="J1510" s="38" t="n"/>
    </row>
    <row r="1511">
      <c r="A1511" s="16">
        <f>IF($B1511="","",COUNTA($B$4:$B1511))</f>
        <v/>
      </c>
      <c r="B1511" s="72" t="n"/>
      <c r="C1511" s="46" t="n"/>
      <c r="D1511" s="47" t="n"/>
      <c r="E1511" s="47" t="n"/>
      <c r="F1511" s="47" t="n"/>
      <c r="G1511" s="47" t="n"/>
      <c r="H1511" s="47" t="n"/>
      <c r="I1511" s="47" t="n"/>
      <c r="J1511" s="40" t="n"/>
    </row>
    <row r="1512">
      <c r="A1512" s="16">
        <f>IF($B1512="","",COUNTA($B$4:$B1512))</f>
        <v/>
      </c>
      <c r="B1512" s="71" t="n"/>
      <c r="C1512" s="44" t="n"/>
      <c r="D1512" s="45" t="n"/>
      <c r="E1512" s="45" t="n"/>
      <c r="F1512" s="45" t="n"/>
      <c r="G1512" s="45" t="n"/>
      <c r="H1512" s="45" t="n"/>
      <c r="I1512" s="45" t="n"/>
      <c r="J1512" s="38" t="n"/>
    </row>
    <row r="1513">
      <c r="A1513" s="16">
        <f>IF($B1513="","",COUNTA($B$4:$B1513))</f>
        <v/>
      </c>
      <c r="B1513" s="72" t="n"/>
      <c r="C1513" s="46" t="n"/>
      <c r="D1513" s="47" t="n"/>
      <c r="E1513" s="47" t="n"/>
      <c r="F1513" s="47" t="n"/>
      <c r="G1513" s="47" t="n"/>
      <c r="H1513" s="47" t="n"/>
      <c r="I1513" s="47" t="n"/>
      <c r="J1513" s="40" t="n"/>
    </row>
    <row r="1514">
      <c r="A1514" s="16">
        <f>IF($B1514="","",COUNTA($B$4:$B1514))</f>
        <v/>
      </c>
      <c r="B1514" s="71" t="n"/>
      <c r="C1514" s="44" t="n"/>
      <c r="D1514" s="45" t="n"/>
      <c r="E1514" s="45" t="n"/>
      <c r="F1514" s="45" t="n"/>
      <c r="G1514" s="45" t="n"/>
      <c r="H1514" s="45" t="n"/>
      <c r="I1514" s="45" t="n"/>
      <c r="J1514" s="38" t="n"/>
    </row>
    <row r="1515">
      <c r="A1515" s="16">
        <f>IF($B1515="","",COUNTA($B$4:$B1515))</f>
        <v/>
      </c>
      <c r="B1515" s="72" t="n"/>
      <c r="C1515" s="46" t="n"/>
      <c r="D1515" s="47" t="n"/>
      <c r="E1515" s="47" t="n"/>
      <c r="F1515" s="47" t="n"/>
      <c r="G1515" s="47" t="n"/>
      <c r="H1515" s="47" t="n"/>
      <c r="I1515" s="47" t="n"/>
      <c r="J1515" s="40" t="n"/>
    </row>
    <row r="1516">
      <c r="A1516" s="16">
        <f>IF($B1516="","",COUNTA($B$4:$B1516))</f>
        <v/>
      </c>
      <c r="B1516" s="71" t="n"/>
      <c r="C1516" s="44" t="n"/>
      <c r="D1516" s="45" t="n"/>
      <c r="E1516" s="45" t="n"/>
      <c r="F1516" s="45" t="n"/>
      <c r="G1516" s="45" t="n"/>
      <c r="H1516" s="45" t="n"/>
      <c r="I1516" s="45" t="n"/>
      <c r="J1516" s="38" t="n"/>
    </row>
    <row r="1517">
      <c r="A1517" s="16">
        <f>IF($B1517="","",COUNTA($B$4:$B1517))</f>
        <v/>
      </c>
      <c r="B1517" s="72" t="n"/>
      <c r="C1517" s="46" t="n"/>
      <c r="D1517" s="47" t="n"/>
      <c r="E1517" s="47" t="n"/>
      <c r="F1517" s="47" t="n"/>
      <c r="G1517" s="47" t="n"/>
      <c r="H1517" s="47" t="n"/>
      <c r="I1517" s="47" t="n"/>
      <c r="J1517" s="40" t="n"/>
    </row>
    <row r="1518">
      <c r="A1518" s="16">
        <f>IF($B1518="","",COUNTA($B$4:$B1518))</f>
        <v/>
      </c>
      <c r="B1518" s="71" t="n"/>
      <c r="C1518" s="44" t="n"/>
      <c r="D1518" s="45" t="n"/>
      <c r="E1518" s="45" t="n"/>
      <c r="F1518" s="45" t="n"/>
      <c r="G1518" s="45" t="n"/>
      <c r="H1518" s="45" t="n"/>
      <c r="I1518" s="45" t="n"/>
      <c r="J1518" s="38" t="n"/>
    </row>
    <row r="1519">
      <c r="A1519" s="16">
        <f>IF($B1519="","",COUNTA($B$4:$B1519))</f>
        <v/>
      </c>
      <c r="B1519" s="72" t="n"/>
      <c r="C1519" s="46" t="n"/>
      <c r="D1519" s="47" t="n"/>
      <c r="E1519" s="47" t="n"/>
      <c r="F1519" s="47" t="n"/>
      <c r="G1519" s="47" t="n"/>
      <c r="H1519" s="47" t="n"/>
      <c r="I1519" s="47" t="n"/>
      <c r="J1519" s="40" t="n"/>
    </row>
    <row r="1520">
      <c r="A1520" s="16">
        <f>IF($B1520="","",COUNTA($B$4:$B1520))</f>
        <v/>
      </c>
      <c r="B1520" s="71" t="n"/>
      <c r="C1520" s="44" t="n"/>
      <c r="D1520" s="45" t="n"/>
      <c r="E1520" s="45" t="n"/>
      <c r="F1520" s="45" t="n"/>
      <c r="G1520" s="45" t="n"/>
      <c r="H1520" s="45" t="n"/>
      <c r="I1520" s="45" t="n"/>
      <c r="J1520" s="38" t="n"/>
    </row>
    <row r="1521">
      <c r="A1521" s="16">
        <f>IF($B1521="","",COUNTA($B$4:$B1521))</f>
        <v/>
      </c>
      <c r="B1521" s="72" t="n"/>
      <c r="C1521" s="46" t="n"/>
      <c r="D1521" s="47" t="n"/>
      <c r="E1521" s="47" t="n"/>
      <c r="F1521" s="47" t="n"/>
      <c r="G1521" s="47" t="n"/>
      <c r="H1521" s="47" t="n"/>
      <c r="I1521" s="47" t="n"/>
      <c r="J1521" s="40" t="n"/>
    </row>
    <row r="1522">
      <c r="A1522" s="16">
        <f>IF($B1522="","",COUNTA($B$4:$B1522))</f>
        <v/>
      </c>
      <c r="B1522" s="71" t="n"/>
      <c r="C1522" s="44" t="n"/>
      <c r="D1522" s="45" t="n"/>
      <c r="E1522" s="45" t="n"/>
      <c r="F1522" s="45" t="n"/>
      <c r="G1522" s="45" t="n"/>
      <c r="H1522" s="45" t="n"/>
      <c r="I1522" s="45" t="n"/>
      <c r="J1522" s="38" t="n"/>
    </row>
    <row r="1523">
      <c r="A1523" s="16">
        <f>IF($B1523="","",COUNTA($B$4:$B1523))</f>
        <v/>
      </c>
      <c r="B1523" s="72" t="n"/>
      <c r="C1523" s="46" t="n"/>
      <c r="D1523" s="47" t="n"/>
      <c r="E1523" s="47" t="n"/>
      <c r="F1523" s="47" t="n"/>
      <c r="G1523" s="47" t="n"/>
      <c r="H1523" s="47" t="n"/>
      <c r="I1523" s="47" t="n"/>
      <c r="J1523" s="40" t="n"/>
    </row>
    <row r="1524">
      <c r="A1524" s="16">
        <f>IF($B1524="","",COUNTA($B$4:$B1524))</f>
        <v/>
      </c>
      <c r="B1524" s="71" t="n"/>
      <c r="C1524" s="44" t="n"/>
      <c r="D1524" s="45" t="n"/>
      <c r="E1524" s="45" t="n"/>
      <c r="F1524" s="45" t="n"/>
      <c r="G1524" s="45" t="n"/>
      <c r="H1524" s="45" t="n"/>
      <c r="I1524" s="45" t="n"/>
      <c r="J1524" s="38" t="n"/>
    </row>
    <row r="1525">
      <c r="A1525" s="16">
        <f>IF($B1525="","",COUNTA($B$4:$B1525))</f>
        <v/>
      </c>
      <c r="B1525" s="72" t="n"/>
      <c r="C1525" s="46" t="n"/>
      <c r="D1525" s="47" t="n"/>
      <c r="E1525" s="47" t="n"/>
      <c r="F1525" s="47" t="n"/>
      <c r="G1525" s="47" t="n"/>
      <c r="H1525" s="47" t="n"/>
      <c r="I1525" s="47" t="n"/>
      <c r="J1525" s="40" t="n"/>
    </row>
    <row r="1526">
      <c r="A1526" s="16">
        <f>IF($B1526="","",COUNTA($B$4:$B1526))</f>
        <v/>
      </c>
      <c r="B1526" s="71" t="n"/>
      <c r="C1526" s="44" t="n"/>
      <c r="D1526" s="45" t="n"/>
      <c r="E1526" s="45" t="n"/>
      <c r="F1526" s="45" t="n"/>
      <c r="G1526" s="45" t="n"/>
      <c r="H1526" s="45" t="n"/>
      <c r="I1526" s="45" t="n"/>
      <c r="J1526" s="38" t="n"/>
    </row>
    <row r="1527">
      <c r="A1527" s="16">
        <f>IF($B1527="","",COUNTA($B$4:$B1527))</f>
        <v/>
      </c>
      <c r="B1527" s="72" t="n"/>
      <c r="C1527" s="46" t="n"/>
      <c r="D1527" s="47" t="n"/>
      <c r="E1527" s="47" t="n"/>
      <c r="F1527" s="47" t="n"/>
      <c r="G1527" s="47" t="n"/>
      <c r="H1527" s="47" t="n"/>
      <c r="I1527" s="47" t="n"/>
      <c r="J1527" s="40" t="n"/>
    </row>
    <row r="1528">
      <c r="A1528" s="16">
        <f>IF($B1528="","",COUNTA($B$4:$B1528))</f>
        <v/>
      </c>
      <c r="B1528" s="71" t="n"/>
      <c r="C1528" s="44" t="n"/>
      <c r="D1528" s="45" t="n"/>
      <c r="E1528" s="45" t="n"/>
      <c r="F1528" s="45" t="n"/>
      <c r="G1528" s="45" t="n"/>
      <c r="H1528" s="45" t="n"/>
      <c r="I1528" s="45" t="n"/>
      <c r="J1528" s="38" t="n"/>
    </row>
    <row r="1529">
      <c r="A1529" s="16">
        <f>IF($B1529="","",COUNTA($B$4:$B1529))</f>
        <v/>
      </c>
      <c r="B1529" s="72" t="n"/>
      <c r="C1529" s="46" t="n"/>
      <c r="D1529" s="47" t="n"/>
      <c r="E1529" s="47" t="n"/>
      <c r="F1529" s="47" t="n"/>
      <c r="G1529" s="47" t="n"/>
      <c r="H1529" s="47" t="n"/>
      <c r="I1529" s="47" t="n"/>
      <c r="J1529" s="40" t="n"/>
    </row>
    <row r="1530">
      <c r="A1530" s="16">
        <f>IF($B1530="","",COUNTA($B$4:$B1530))</f>
        <v/>
      </c>
      <c r="B1530" s="71" t="n"/>
      <c r="C1530" s="44" t="n"/>
      <c r="D1530" s="45" t="n"/>
      <c r="E1530" s="45" t="n"/>
      <c r="F1530" s="45" t="n"/>
      <c r="G1530" s="45" t="n"/>
      <c r="H1530" s="45" t="n"/>
      <c r="I1530" s="45" t="n"/>
      <c r="J1530" s="38" t="n"/>
    </row>
    <row r="1531">
      <c r="A1531" s="16">
        <f>IF($B1531="","",COUNTA($B$4:$B1531))</f>
        <v/>
      </c>
      <c r="B1531" s="72" t="n"/>
      <c r="C1531" s="46" t="n"/>
      <c r="D1531" s="47" t="n"/>
      <c r="E1531" s="47" t="n"/>
      <c r="F1531" s="47" t="n"/>
      <c r="G1531" s="47" t="n"/>
      <c r="H1531" s="47" t="n"/>
      <c r="I1531" s="47" t="n"/>
      <c r="J1531" s="40" t="n"/>
    </row>
    <row r="1532">
      <c r="A1532" s="16">
        <f>IF($B1532="","",COUNTA($B$4:$B1532))</f>
        <v/>
      </c>
      <c r="B1532" s="71" t="n"/>
      <c r="C1532" s="44" t="n"/>
      <c r="D1532" s="45" t="n"/>
      <c r="E1532" s="45" t="n"/>
      <c r="F1532" s="45" t="n"/>
      <c r="G1532" s="45" t="n"/>
      <c r="H1532" s="45" t="n"/>
      <c r="I1532" s="45" t="n"/>
      <c r="J1532" s="38" t="n"/>
    </row>
    <row r="1533">
      <c r="A1533" s="16">
        <f>IF($B1533="","",COUNTA($B$4:$B1533))</f>
        <v/>
      </c>
      <c r="B1533" s="72" t="n"/>
      <c r="C1533" s="46" t="n"/>
      <c r="D1533" s="47" t="n"/>
      <c r="E1533" s="47" t="n"/>
      <c r="F1533" s="47" t="n"/>
      <c r="G1533" s="47" t="n"/>
      <c r="H1533" s="47" t="n"/>
      <c r="I1533" s="47" t="n"/>
      <c r="J1533" s="40" t="n"/>
    </row>
    <row r="1534">
      <c r="A1534" s="16">
        <f>IF($B1534="","",COUNTA($B$4:$B1534))</f>
        <v/>
      </c>
      <c r="B1534" s="71" t="n"/>
      <c r="C1534" s="44" t="n"/>
      <c r="D1534" s="45" t="n"/>
      <c r="E1534" s="45" t="n"/>
      <c r="F1534" s="45" t="n"/>
      <c r="G1534" s="45" t="n"/>
      <c r="H1534" s="45" t="n"/>
      <c r="I1534" s="45" t="n"/>
      <c r="J1534" s="38" t="n"/>
    </row>
    <row r="1535">
      <c r="A1535" s="16">
        <f>IF($B1535="","",COUNTA($B$4:$B1535))</f>
        <v/>
      </c>
      <c r="B1535" s="72" t="n"/>
      <c r="C1535" s="46" t="n"/>
      <c r="D1535" s="47" t="n"/>
      <c r="E1535" s="47" t="n"/>
      <c r="F1535" s="47" t="n"/>
      <c r="G1535" s="47" t="n"/>
      <c r="H1535" s="47" t="n"/>
      <c r="I1535" s="47" t="n"/>
      <c r="J1535" s="40" t="n"/>
    </row>
    <row r="1536">
      <c r="A1536" s="16">
        <f>IF($B1536="","",COUNTA($B$4:$B1536))</f>
        <v/>
      </c>
      <c r="B1536" s="71" t="n"/>
      <c r="C1536" s="44" t="n"/>
      <c r="D1536" s="45" t="n"/>
      <c r="E1536" s="45" t="n"/>
      <c r="F1536" s="45" t="n"/>
      <c r="G1536" s="45" t="n"/>
      <c r="H1536" s="45" t="n"/>
      <c r="I1536" s="45" t="n"/>
      <c r="J1536" s="38" t="n"/>
    </row>
    <row r="1537">
      <c r="A1537" s="16">
        <f>IF($B1537="","",COUNTA($B$4:$B1537))</f>
        <v/>
      </c>
      <c r="B1537" s="72" t="n"/>
      <c r="C1537" s="46" t="n"/>
      <c r="D1537" s="47" t="n"/>
      <c r="E1537" s="47" t="n"/>
      <c r="F1537" s="47" t="n"/>
      <c r="G1537" s="47" t="n"/>
      <c r="H1537" s="47" t="n"/>
      <c r="I1537" s="47" t="n"/>
      <c r="J1537" s="40" t="n"/>
    </row>
    <row r="1538">
      <c r="A1538" s="16">
        <f>IF($B1538="","",COUNTA($B$4:$B1538))</f>
        <v/>
      </c>
      <c r="B1538" s="71" t="n"/>
      <c r="C1538" s="44" t="n"/>
      <c r="D1538" s="45" t="n"/>
      <c r="E1538" s="45" t="n"/>
      <c r="F1538" s="45" t="n"/>
      <c r="G1538" s="45" t="n"/>
      <c r="H1538" s="45" t="n"/>
      <c r="I1538" s="45" t="n"/>
      <c r="J1538" s="38" t="n"/>
    </row>
    <row r="1539">
      <c r="A1539" s="16">
        <f>IF($B1539="","",COUNTA($B$4:$B1539))</f>
        <v/>
      </c>
      <c r="B1539" s="72" t="n"/>
      <c r="C1539" s="46" t="n"/>
      <c r="D1539" s="47" t="n"/>
      <c r="E1539" s="47" t="n"/>
      <c r="F1539" s="47" t="n"/>
      <c r="G1539" s="47" t="n"/>
      <c r="H1539" s="47" t="n"/>
      <c r="I1539" s="47" t="n"/>
      <c r="J1539" s="40" t="n"/>
    </row>
    <row r="1540">
      <c r="A1540" s="16">
        <f>IF($B1540="","",COUNTA($B$4:$B1540))</f>
        <v/>
      </c>
      <c r="B1540" s="71" t="n"/>
      <c r="C1540" s="44" t="n"/>
      <c r="D1540" s="45" t="n"/>
      <c r="E1540" s="45" t="n"/>
      <c r="F1540" s="45" t="n"/>
      <c r="G1540" s="45" t="n"/>
      <c r="H1540" s="45" t="n"/>
      <c r="I1540" s="45" t="n"/>
      <c r="J1540" s="38" t="n"/>
    </row>
    <row r="1541">
      <c r="A1541" s="16">
        <f>IF($B1541="","",COUNTA($B$4:$B1541))</f>
        <v/>
      </c>
      <c r="B1541" s="72" t="n"/>
      <c r="C1541" s="46" t="n"/>
      <c r="D1541" s="47" t="n"/>
      <c r="E1541" s="47" t="n"/>
      <c r="F1541" s="47" t="n"/>
      <c r="G1541" s="47" t="n"/>
      <c r="H1541" s="47" t="n"/>
      <c r="I1541" s="47" t="n"/>
      <c r="J1541" s="40" t="n"/>
    </row>
    <row r="1542">
      <c r="A1542" s="16">
        <f>IF($B1542="","",COUNTA($B$4:$B1542))</f>
        <v/>
      </c>
      <c r="B1542" s="71" t="n"/>
      <c r="C1542" s="44" t="n"/>
      <c r="D1542" s="45" t="n"/>
      <c r="E1542" s="45" t="n"/>
      <c r="F1542" s="45" t="n"/>
      <c r="G1542" s="45" t="n"/>
      <c r="H1542" s="45" t="n"/>
      <c r="I1542" s="45" t="n"/>
      <c r="J1542" s="38" t="n"/>
    </row>
    <row r="1543">
      <c r="A1543" s="16">
        <f>IF($B1543="","",COUNTA($B$4:$B1543))</f>
        <v/>
      </c>
      <c r="B1543" s="72" t="n"/>
      <c r="C1543" s="46" t="n"/>
      <c r="D1543" s="47" t="n"/>
      <c r="E1543" s="47" t="n"/>
      <c r="F1543" s="47" t="n"/>
      <c r="G1543" s="47" t="n"/>
      <c r="H1543" s="47" t="n"/>
      <c r="I1543" s="47" t="n"/>
      <c r="J1543" s="40" t="n"/>
    </row>
    <row r="1544">
      <c r="A1544" s="16">
        <f>IF($B1544="","",COUNTA($B$4:$B1544))</f>
        <v/>
      </c>
      <c r="B1544" s="71" t="n"/>
      <c r="C1544" s="44" t="n"/>
      <c r="D1544" s="45" t="n"/>
      <c r="E1544" s="45" t="n"/>
      <c r="F1544" s="45" t="n"/>
      <c r="G1544" s="45" t="n"/>
      <c r="H1544" s="45" t="n"/>
      <c r="I1544" s="45" t="n"/>
      <c r="J1544" s="38" t="n"/>
    </row>
    <row r="1545">
      <c r="A1545" s="16">
        <f>IF($B1545="","",COUNTA($B$4:$B1545))</f>
        <v/>
      </c>
      <c r="B1545" s="72" t="n"/>
      <c r="C1545" s="46" t="n"/>
      <c r="D1545" s="47" t="n"/>
      <c r="E1545" s="47" t="n"/>
      <c r="F1545" s="47" t="n"/>
      <c r="G1545" s="47" t="n"/>
      <c r="H1545" s="47" t="n"/>
      <c r="I1545" s="47" t="n"/>
      <c r="J1545" s="40" t="n"/>
    </row>
    <row r="1546">
      <c r="A1546" s="16">
        <f>IF($B1546="","",COUNTA($B$4:$B1546))</f>
        <v/>
      </c>
      <c r="B1546" s="71" t="n"/>
      <c r="C1546" s="44" t="n"/>
      <c r="D1546" s="45" t="n"/>
      <c r="E1546" s="45" t="n"/>
      <c r="F1546" s="45" t="n"/>
      <c r="G1546" s="45" t="n"/>
      <c r="H1546" s="45" t="n"/>
      <c r="I1546" s="45" t="n"/>
      <c r="J1546" s="38" t="n"/>
    </row>
    <row r="1547">
      <c r="A1547" s="16">
        <f>IF($B1547="","",COUNTA($B$4:$B1547))</f>
        <v/>
      </c>
      <c r="B1547" s="72" t="n"/>
      <c r="C1547" s="46" t="n"/>
      <c r="D1547" s="47" t="n"/>
      <c r="E1547" s="47" t="n"/>
      <c r="F1547" s="47" t="n"/>
      <c r="G1547" s="47" t="n"/>
      <c r="H1547" s="47" t="n"/>
      <c r="I1547" s="47" t="n"/>
      <c r="J1547" s="40" t="n"/>
    </row>
    <row r="1548">
      <c r="A1548" s="16">
        <f>IF($B1548="","",COUNTA($B$4:$B1548))</f>
        <v/>
      </c>
      <c r="B1548" s="71" t="n"/>
      <c r="C1548" s="44" t="n"/>
      <c r="D1548" s="45" t="n"/>
      <c r="E1548" s="45" t="n"/>
      <c r="F1548" s="45" t="n"/>
      <c r="G1548" s="45" t="n"/>
      <c r="H1548" s="45" t="n"/>
      <c r="I1548" s="45" t="n"/>
      <c r="J1548" s="38" t="n"/>
    </row>
    <row r="1549">
      <c r="A1549" s="16">
        <f>IF($B1549="","",COUNTA($B$4:$B1549))</f>
        <v/>
      </c>
      <c r="B1549" s="72" t="n"/>
      <c r="C1549" s="46" t="n"/>
      <c r="D1549" s="47" t="n"/>
      <c r="E1549" s="47" t="n"/>
      <c r="F1549" s="47" t="n"/>
      <c r="G1549" s="47" t="n"/>
      <c r="H1549" s="47" t="n"/>
      <c r="I1549" s="47" t="n"/>
      <c r="J1549" s="40" t="n"/>
    </row>
    <row r="1550">
      <c r="A1550" s="16">
        <f>IF($B1550="","",COUNTA($B$4:$B1550))</f>
        <v/>
      </c>
      <c r="B1550" s="71" t="n"/>
      <c r="C1550" s="44" t="n"/>
      <c r="D1550" s="45" t="n"/>
      <c r="E1550" s="45" t="n"/>
      <c r="F1550" s="45" t="n"/>
      <c r="G1550" s="45" t="n"/>
      <c r="H1550" s="45" t="n"/>
      <c r="I1550" s="45" t="n"/>
      <c r="J1550" s="38" t="n"/>
    </row>
    <row r="1551">
      <c r="A1551" s="16">
        <f>IF($B1551="","",COUNTA($B$4:$B1551))</f>
        <v/>
      </c>
      <c r="B1551" s="72" t="n"/>
      <c r="C1551" s="46" t="n"/>
      <c r="D1551" s="47" t="n"/>
      <c r="E1551" s="47" t="n"/>
      <c r="F1551" s="47" t="n"/>
      <c r="G1551" s="47" t="n"/>
      <c r="H1551" s="47" t="n"/>
      <c r="I1551" s="47" t="n"/>
      <c r="J1551" s="40" t="n"/>
    </row>
    <row r="1552">
      <c r="A1552" s="16">
        <f>IF($B1552="","",COUNTA($B$4:$B1552))</f>
        <v/>
      </c>
      <c r="B1552" s="71" t="n"/>
      <c r="C1552" s="44" t="n"/>
      <c r="D1552" s="45" t="n"/>
      <c r="E1552" s="45" t="n"/>
      <c r="F1552" s="45" t="n"/>
      <c r="G1552" s="45" t="n"/>
      <c r="H1552" s="45" t="n"/>
      <c r="I1552" s="45" t="n"/>
      <c r="J1552" s="38" t="n"/>
    </row>
    <row r="1553">
      <c r="A1553" s="16">
        <f>IF($B1553="","",COUNTA($B$4:$B1553))</f>
        <v/>
      </c>
      <c r="B1553" s="72" t="n"/>
      <c r="C1553" s="46" t="n"/>
      <c r="D1553" s="47" t="n"/>
      <c r="E1553" s="47" t="n"/>
      <c r="F1553" s="47" t="n"/>
      <c r="G1553" s="47" t="n"/>
      <c r="H1553" s="47" t="n"/>
      <c r="I1553" s="47" t="n"/>
      <c r="J1553" s="40" t="n"/>
    </row>
    <row r="1554">
      <c r="A1554" s="16">
        <f>IF($B1554="","",COUNTA($B$4:$B1554))</f>
        <v/>
      </c>
      <c r="B1554" s="71" t="n"/>
      <c r="C1554" s="44" t="n"/>
      <c r="D1554" s="45" t="n"/>
      <c r="E1554" s="45" t="n"/>
      <c r="F1554" s="45" t="n"/>
      <c r="G1554" s="45" t="n"/>
      <c r="H1554" s="45" t="n"/>
      <c r="I1554" s="45" t="n"/>
      <c r="J1554" s="38" t="n"/>
    </row>
    <row r="1555">
      <c r="A1555" s="16">
        <f>IF($B1555="","",COUNTA($B$4:$B1555))</f>
        <v/>
      </c>
      <c r="B1555" s="72" t="n"/>
      <c r="C1555" s="46" t="n"/>
      <c r="D1555" s="47" t="n"/>
      <c r="E1555" s="47" t="n"/>
      <c r="F1555" s="47" t="n"/>
      <c r="G1555" s="47" t="n"/>
      <c r="H1555" s="47" t="n"/>
      <c r="I1555" s="47" t="n"/>
      <c r="J1555" s="40" t="n"/>
    </row>
    <row r="1556">
      <c r="A1556" s="16">
        <f>IF($B1556="","",COUNTA($B$4:$B1556))</f>
        <v/>
      </c>
      <c r="B1556" s="71" t="n"/>
      <c r="C1556" s="44" t="n"/>
      <c r="D1556" s="45" t="n"/>
      <c r="E1556" s="45" t="n"/>
      <c r="F1556" s="45" t="n"/>
      <c r="G1556" s="45" t="n"/>
      <c r="H1556" s="45" t="n"/>
      <c r="I1556" s="45" t="n"/>
      <c r="J1556" s="38" t="n"/>
    </row>
    <row r="1557">
      <c r="A1557" s="16">
        <f>IF($B1557="","",COUNTA($B$4:$B1557))</f>
        <v/>
      </c>
      <c r="B1557" s="72" t="n"/>
      <c r="C1557" s="46" t="n"/>
      <c r="D1557" s="47" t="n"/>
      <c r="E1557" s="47" t="n"/>
      <c r="F1557" s="47" t="n"/>
      <c r="G1557" s="47" t="n"/>
      <c r="H1557" s="47" t="n"/>
      <c r="I1557" s="47" t="n"/>
      <c r="J1557" s="40" t="n"/>
    </row>
    <row r="1558">
      <c r="A1558" s="16">
        <f>IF($B1558="","",COUNTA($B$4:$B1558))</f>
        <v/>
      </c>
      <c r="B1558" s="71" t="n"/>
      <c r="C1558" s="44" t="n"/>
      <c r="D1558" s="45" t="n"/>
      <c r="E1558" s="45" t="n"/>
      <c r="F1558" s="45" t="n"/>
      <c r="G1558" s="45" t="n"/>
      <c r="H1558" s="45" t="n"/>
      <c r="I1558" s="45" t="n"/>
      <c r="J1558" s="38" t="n"/>
    </row>
    <row r="1559">
      <c r="A1559" s="16">
        <f>IF($B1559="","",COUNTA($B$4:$B1559))</f>
        <v/>
      </c>
      <c r="B1559" s="72" t="n"/>
      <c r="C1559" s="46" t="n"/>
      <c r="D1559" s="47" t="n"/>
      <c r="E1559" s="47" t="n"/>
      <c r="F1559" s="47" t="n"/>
      <c r="G1559" s="47" t="n"/>
      <c r="H1559" s="47" t="n"/>
      <c r="I1559" s="47" t="n"/>
      <c r="J1559" s="40" t="n"/>
    </row>
    <row r="1560">
      <c r="A1560" s="16">
        <f>IF($B1560="","",COUNTA($B$4:$B1560))</f>
        <v/>
      </c>
      <c r="B1560" s="71" t="n"/>
      <c r="C1560" s="44" t="n"/>
      <c r="D1560" s="45" t="n"/>
      <c r="E1560" s="45" t="n"/>
      <c r="F1560" s="45" t="n"/>
      <c r="G1560" s="45" t="n"/>
      <c r="H1560" s="45" t="n"/>
      <c r="I1560" s="45" t="n"/>
      <c r="J1560" s="38" t="n"/>
    </row>
    <row r="1561">
      <c r="A1561" s="16">
        <f>IF($B1561="","",COUNTA($B$4:$B1561))</f>
        <v/>
      </c>
      <c r="B1561" s="72" t="n"/>
      <c r="C1561" s="46" t="n"/>
      <c r="D1561" s="47" t="n"/>
      <c r="E1561" s="47" t="n"/>
      <c r="F1561" s="47" t="n"/>
      <c r="G1561" s="47" t="n"/>
      <c r="H1561" s="47" t="n"/>
      <c r="I1561" s="47" t="n"/>
      <c r="J1561" s="40" t="n"/>
    </row>
    <row r="1562">
      <c r="A1562" s="16">
        <f>IF($B1562="","",COUNTA($B$4:$B1562))</f>
        <v/>
      </c>
      <c r="B1562" s="71" t="n"/>
      <c r="C1562" s="44" t="n"/>
      <c r="D1562" s="45" t="n"/>
      <c r="E1562" s="45" t="n"/>
      <c r="F1562" s="45" t="n"/>
      <c r="G1562" s="45" t="n"/>
      <c r="H1562" s="45" t="n"/>
      <c r="I1562" s="45" t="n"/>
      <c r="J1562" s="38" t="n"/>
    </row>
    <row r="1563">
      <c r="A1563" s="16">
        <f>IF($B1563="","",COUNTA($B$4:$B1563))</f>
        <v/>
      </c>
      <c r="B1563" s="72" t="n"/>
      <c r="C1563" s="46" t="n"/>
      <c r="D1563" s="47" t="n"/>
      <c r="E1563" s="47" t="n"/>
      <c r="F1563" s="47" t="n"/>
      <c r="G1563" s="47" t="n"/>
      <c r="H1563" s="47" t="n"/>
      <c r="I1563" s="47" t="n"/>
      <c r="J1563" s="40" t="n"/>
    </row>
    <row r="1564">
      <c r="A1564" s="16">
        <f>IF($B1564="","",COUNTA($B$4:$B1564))</f>
        <v/>
      </c>
      <c r="B1564" s="71" t="n"/>
      <c r="C1564" s="44" t="n"/>
      <c r="D1564" s="45" t="n"/>
      <c r="E1564" s="45" t="n"/>
      <c r="F1564" s="45" t="n"/>
      <c r="G1564" s="45" t="n"/>
      <c r="H1564" s="45" t="n"/>
      <c r="I1564" s="45" t="n"/>
      <c r="J1564" s="38" t="n"/>
    </row>
    <row r="1565">
      <c r="A1565" s="16">
        <f>IF($B1565="","",COUNTA($B$4:$B1565))</f>
        <v/>
      </c>
      <c r="B1565" s="72" t="n"/>
      <c r="C1565" s="46" t="n"/>
      <c r="D1565" s="47" t="n"/>
      <c r="E1565" s="47" t="n"/>
      <c r="F1565" s="47" t="n"/>
      <c r="G1565" s="47" t="n"/>
      <c r="H1565" s="47" t="n"/>
      <c r="I1565" s="47" t="n"/>
      <c r="J1565" s="40" t="n"/>
    </row>
    <row r="1566">
      <c r="A1566" s="16">
        <f>IF($B1566="","",COUNTA($B$4:$B1566))</f>
        <v/>
      </c>
      <c r="B1566" s="71" t="n"/>
      <c r="C1566" s="44" t="n"/>
      <c r="D1566" s="45" t="n"/>
      <c r="E1566" s="45" t="n"/>
      <c r="F1566" s="45" t="n"/>
      <c r="G1566" s="45" t="n"/>
      <c r="H1566" s="45" t="n"/>
      <c r="I1566" s="45" t="n"/>
      <c r="J1566" s="38" t="n"/>
    </row>
    <row r="1567">
      <c r="A1567" s="16">
        <f>IF($B1567="","",COUNTA($B$4:$B1567))</f>
        <v/>
      </c>
      <c r="B1567" s="72" t="n"/>
      <c r="C1567" s="46" t="n"/>
      <c r="D1567" s="47" t="n"/>
      <c r="E1567" s="47" t="n"/>
      <c r="F1567" s="47" t="n"/>
      <c r="G1567" s="47" t="n"/>
      <c r="H1567" s="47" t="n"/>
      <c r="I1567" s="47" t="n"/>
      <c r="J1567" s="40" t="n"/>
    </row>
    <row r="1568">
      <c r="A1568" s="16">
        <f>IF($B1568="","",COUNTA($B$4:$B1568))</f>
        <v/>
      </c>
      <c r="B1568" s="71" t="n"/>
      <c r="C1568" s="44" t="n"/>
      <c r="D1568" s="45" t="n"/>
      <c r="E1568" s="45" t="n"/>
      <c r="F1568" s="45" t="n"/>
      <c r="G1568" s="45" t="n"/>
      <c r="H1568" s="45" t="n"/>
      <c r="I1568" s="45" t="n"/>
      <c r="J1568" s="38" t="n"/>
    </row>
    <row r="1569">
      <c r="A1569" s="16">
        <f>IF($B1569="","",COUNTA($B$4:$B1569))</f>
        <v/>
      </c>
      <c r="B1569" s="72" t="n"/>
      <c r="C1569" s="46" t="n"/>
      <c r="D1569" s="47" t="n"/>
      <c r="E1569" s="47" t="n"/>
      <c r="F1569" s="47" t="n"/>
      <c r="G1569" s="47" t="n"/>
      <c r="H1569" s="47" t="n"/>
      <c r="I1569" s="47" t="n"/>
      <c r="J1569" s="40" t="n"/>
    </row>
    <row r="1570">
      <c r="A1570" s="16">
        <f>IF($B1570="","",COUNTA($B$4:$B1570))</f>
        <v/>
      </c>
      <c r="B1570" s="71" t="n"/>
      <c r="C1570" s="44" t="n"/>
      <c r="D1570" s="45" t="n"/>
      <c r="E1570" s="45" t="n"/>
      <c r="F1570" s="45" t="n"/>
      <c r="G1570" s="45" t="n"/>
      <c r="H1570" s="45" t="n"/>
      <c r="I1570" s="45" t="n"/>
      <c r="J1570" s="38" t="n"/>
    </row>
    <row r="1571">
      <c r="A1571" s="16">
        <f>IF($B1571="","",COUNTA($B$4:$B1571))</f>
        <v/>
      </c>
      <c r="B1571" s="72" t="n"/>
      <c r="C1571" s="46" t="n"/>
      <c r="D1571" s="47" t="n"/>
      <c r="E1571" s="47" t="n"/>
      <c r="F1571" s="47" t="n"/>
      <c r="G1571" s="47" t="n"/>
      <c r="H1571" s="47" t="n"/>
      <c r="I1571" s="47" t="n"/>
      <c r="J1571" s="40" t="n"/>
    </row>
    <row r="1572">
      <c r="A1572" s="16">
        <f>IF($B1572="","",COUNTA($B$4:$B1572))</f>
        <v/>
      </c>
      <c r="B1572" s="71" t="n"/>
      <c r="C1572" s="44" t="n"/>
      <c r="D1572" s="45" t="n"/>
      <c r="E1572" s="45" t="n"/>
      <c r="F1572" s="45" t="n"/>
      <c r="G1572" s="45" t="n"/>
      <c r="H1572" s="45" t="n"/>
      <c r="I1572" s="45" t="n"/>
      <c r="J1572" s="38" t="n"/>
    </row>
    <row r="1573">
      <c r="A1573" s="16">
        <f>IF($B1573="","",COUNTA($B$4:$B1573))</f>
        <v/>
      </c>
      <c r="B1573" s="72" t="n"/>
      <c r="C1573" s="46" t="n"/>
      <c r="D1573" s="47" t="n"/>
      <c r="E1573" s="47" t="n"/>
      <c r="F1573" s="47" t="n"/>
      <c r="G1573" s="47" t="n"/>
      <c r="H1573" s="47" t="n"/>
      <c r="I1573" s="47" t="n"/>
      <c r="J1573" s="40" t="n"/>
    </row>
    <row r="1574">
      <c r="A1574" s="16">
        <f>IF($B1574="","",COUNTA($B$4:$B1574))</f>
        <v/>
      </c>
      <c r="B1574" s="71" t="n"/>
      <c r="C1574" s="44" t="n"/>
      <c r="D1574" s="45" t="n"/>
      <c r="E1574" s="45" t="n"/>
      <c r="F1574" s="45" t="n"/>
      <c r="G1574" s="45" t="n"/>
      <c r="H1574" s="45" t="n"/>
      <c r="I1574" s="45" t="n"/>
      <c r="J1574" s="38" t="n"/>
    </row>
    <row r="1575">
      <c r="A1575" s="16">
        <f>IF($B1575="","",COUNTA($B$4:$B1575))</f>
        <v/>
      </c>
      <c r="B1575" s="72" t="n"/>
      <c r="C1575" s="46" t="n"/>
      <c r="D1575" s="47" t="n"/>
      <c r="E1575" s="47" t="n"/>
      <c r="F1575" s="47" t="n"/>
      <c r="G1575" s="47" t="n"/>
      <c r="H1575" s="47" t="n"/>
      <c r="I1575" s="47" t="n"/>
      <c r="J1575" s="40" t="n"/>
    </row>
    <row r="1576">
      <c r="A1576" s="16">
        <f>IF($B1576="","",COUNTA($B$4:$B1576))</f>
        <v/>
      </c>
      <c r="B1576" s="71" t="n"/>
      <c r="C1576" s="44" t="n"/>
      <c r="D1576" s="45" t="n"/>
      <c r="E1576" s="45" t="n"/>
      <c r="F1576" s="45" t="n"/>
      <c r="G1576" s="45" t="n"/>
      <c r="H1576" s="45" t="n"/>
      <c r="I1576" s="45" t="n"/>
      <c r="J1576" s="38" t="n"/>
    </row>
    <row r="1577">
      <c r="A1577" s="16">
        <f>IF($B1577="","",COUNTA($B$4:$B1577))</f>
        <v/>
      </c>
      <c r="B1577" s="72" t="n"/>
      <c r="C1577" s="46" t="n"/>
      <c r="D1577" s="47" t="n"/>
      <c r="E1577" s="47" t="n"/>
      <c r="F1577" s="47" t="n"/>
      <c r="G1577" s="47" t="n"/>
      <c r="H1577" s="47" t="n"/>
      <c r="I1577" s="47" t="n"/>
      <c r="J1577" s="40" t="n"/>
    </row>
    <row r="1578">
      <c r="A1578" s="16">
        <f>IF($B1578="","",COUNTA($B$4:$B1578))</f>
        <v/>
      </c>
      <c r="B1578" s="71" t="n"/>
      <c r="C1578" s="44" t="n"/>
      <c r="D1578" s="45" t="n"/>
      <c r="E1578" s="45" t="n"/>
      <c r="F1578" s="45" t="n"/>
      <c r="G1578" s="45" t="n"/>
      <c r="H1578" s="45" t="n"/>
      <c r="I1578" s="45" t="n"/>
      <c r="J1578" s="38" t="n"/>
    </row>
    <row r="1579">
      <c r="A1579" s="16">
        <f>IF($B1579="","",COUNTA($B$4:$B1579))</f>
        <v/>
      </c>
      <c r="B1579" s="72" t="n"/>
      <c r="C1579" s="46" t="n"/>
      <c r="D1579" s="47" t="n"/>
      <c r="E1579" s="47" t="n"/>
      <c r="F1579" s="47" t="n"/>
      <c r="G1579" s="47" t="n"/>
      <c r="H1579" s="47" t="n"/>
      <c r="I1579" s="47" t="n"/>
      <c r="J1579" s="40" t="n"/>
    </row>
    <row r="1580">
      <c r="A1580" s="16">
        <f>IF($B1580="","",COUNTA($B$4:$B1580))</f>
        <v/>
      </c>
      <c r="B1580" s="71" t="n"/>
      <c r="C1580" s="44" t="n"/>
      <c r="D1580" s="45" t="n"/>
      <c r="E1580" s="45" t="n"/>
      <c r="F1580" s="45" t="n"/>
      <c r="G1580" s="45" t="n"/>
      <c r="H1580" s="45" t="n"/>
      <c r="I1580" s="45" t="n"/>
      <c r="J1580" s="38" t="n"/>
    </row>
    <row r="1581">
      <c r="A1581" s="16">
        <f>IF($B1581="","",COUNTA($B$4:$B1581))</f>
        <v/>
      </c>
      <c r="B1581" s="72" t="n"/>
      <c r="C1581" s="46" t="n"/>
      <c r="D1581" s="47" t="n"/>
      <c r="E1581" s="47" t="n"/>
      <c r="F1581" s="47" t="n"/>
      <c r="G1581" s="47" t="n"/>
      <c r="H1581" s="47" t="n"/>
      <c r="I1581" s="47" t="n"/>
      <c r="J1581" s="40" t="n"/>
    </row>
    <row r="1582">
      <c r="A1582" s="16">
        <f>IF($B1582="","",COUNTA($B$4:$B1582))</f>
        <v/>
      </c>
      <c r="B1582" s="71" t="n"/>
      <c r="C1582" s="44" t="n"/>
      <c r="D1582" s="45" t="n"/>
      <c r="E1582" s="45" t="n"/>
      <c r="F1582" s="45" t="n"/>
      <c r="G1582" s="45" t="n"/>
      <c r="H1582" s="45" t="n"/>
      <c r="I1582" s="45" t="n"/>
      <c r="J1582" s="38" t="n"/>
    </row>
    <row r="1583">
      <c r="A1583" s="16">
        <f>IF($B1583="","",COUNTA($B$4:$B1583))</f>
        <v/>
      </c>
      <c r="B1583" s="72" t="n"/>
      <c r="C1583" s="46" t="n"/>
      <c r="D1583" s="47" t="n"/>
      <c r="E1583" s="47" t="n"/>
      <c r="F1583" s="47" t="n"/>
      <c r="G1583" s="47" t="n"/>
      <c r="H1583" s="47" t="n"/>
      <c r="I1583" s="47" t="n"/>
      <c r="J1583" s="40" t="n"/>
    </row>
    <row r="1584">
      <c r="A1584" s="16">
        <f>IF($B1584="","",COUNTA($B$4:$B1584))</f>
        <v/>
      </c>
      <c r="B1584" s="71" t="n"/>
      <c r="C1584" s="44" t="n"/>
      <c r="D1584" s="45" t="n"/>
      <c r="E1584" s="45" t="n"/>
      <c r="F1584" s="45" t="n"/>
      <c r="G1584" s="45" t="n"/>
      <c r="H1584" s="45" t="n"/>
      <c r="I1584" s="45" t="n"/>
      <c r="J1584" s="38" t="n"/>
    </row>
    <row r="1585">
      <c r="A1585" s="16">
        <f>IF($B1585="","",COUNTA($B$4:$B1585))</f>
        <v/>
      </c>
      <c r="B1585" s="72" t="n"/>
      <c r="C1585" s="46" t="n"/>
      <c r="D1585" s="47" t="n"/>
      <c r="E1585" s="47" t="n"/>
      <c r="F1585" s="47" t="n"/>
      <c r="G1585" s="47" t="n"/>
      <c r="H1585" s="47" t="n"/>
      <c r="I1585" s="47" t="n"/>
      <c r="J1585" s="40" t="n"/>
    </row>
    <row r="1586">
      <c r="A1586" s="16">
        <f>IF($B1586="","",COUNTA($B$4:$B1586))</f>
        <v/>
      </c>
      <c r="B1586" s="71" t="n"/>
      <c r="C1586" s="44" t="n"/>
      <c r="D1586" s="45" t="n"/>
      <c r="E1586" s="45" t="n"/>
      <c r="F1586" s="45" t="n"/>
      <c r="G1586" s="45" t="n"/>
      <c r="H1586" s="45" t="n"/>
      <c r="I1586" s="45" t="n"/>
      <c r="J1586" s="38" t="n"/>
    </row>
    <row r="1587">
      <c r="A1587" s="16">
        <f>IF($B1587="","",COUNTA($B$4:$B1587))</f>
        <v/>
      </c>
      <c r="B1587" s="72" t="n"/>
      <c r="C1587" s="46" t="n"/>
      <c r="D1587" s="47" t="n"/>
      <c r="E1587" s="47" t="n"/>
      <c r="F1587" s="47" t="n"/>
      <c r="G1587" s="47" t="n"/>
      <c r="H1587" s="47" t="n"/>
      <c r="I1587" s="47" t="n"/>
      <c r="J1587" s="40" t="n"/>
    </row>
    <row r="1588">
      <c r="A1588" s="16">
        <f>IF($B1588="","",COUNTA($B$4:$B1588))</f>
        <v/>
      </c>
      <c r="B1588" s="71" t="n"/>
      <c r="C1588" s="44" t="n"/>
      <c r="D1588" s="45" t="n"/>
      <c r="E1588" s="45" t="n"/>
      <c r="F1588" s="45" t="n"/>
      <c r="G1588" s="45" t="n"/>
      <c r="H1588" s="45" t="n"/>
      <c r="I1588" s="45" t="n"/>
      <c r="J1588" s="38" t="n"/>
    </row>
    <row r="1589">
      <c r="A1589" s="16">
        <f>IF($B1589="","",COUNTA($B$4:$B1589))</f>
        <v/>
      </c>
      <c r="B1589" s="72" t="n"/>
      <c r="C1589" s="46" t="n"/>
      <c r="D1589" s="47" t="n"/>
      <c r="E1589" s="47" t="n"/>
      <c r="F1589" s="47" t="n"/>
      <c r="G1589" s="47" t="n"/>
      <c r="H1589" s="47" t="n"/>
      <c r="I1589" s="47" t="n"/>
      <c r="J1589" s="40" t="n"/>
    </row>
    <row r="1590">
      <c r="A1590" s="16">
        <f>IF($B1590="","",COUNTA($B$4:$B1590))</f>
        <v/>
      </c>
      <c r="B1590" s="71" t="n"/>
      <c r="C1590" s="44" t="n"/>
      <c r="D1590" s="45" t="n"/>
      <c r="E1590" s="45" t="n"/>
      <c r="F1590" s="45" t="n"/>
      <c r="G1590" s="45" t="n"/>
      <c r="H1590" s="45" t="n"/>
      <c r="I1590" s="45" t="n"/>
      <c r="J1590" s="38" t="n"/>
    </row>
    <row r="1591">
      <c r="A1591" s="16">
        <f>IF($B1591="","",COUNTA($B$4:$B1591))</f>
        <v/>
      </c>
      <c r="B1591" s="72" t="n"/>
      <c r="C1591" s="46" t="n"/>
      <c r="D1591" s="47" t="n"/>
      <c r="E1591" s="47" t="n"/>
      <c r="F1591" s="47" t="n"/>
      <c r="G1591" s="47" t="n"/>
      <c r="H1591" s="47" t="n"/>
      <c r="I1591" s="47" t="n"/>
      <c r="J1591" s="40" t="n"/>
    </row>
    <row r="1592">
      <c r="A1592" s="16">
        <f>IF($B1592="","",COUNTA($B$4:$B1592))</f>
        <v/>
      </c>
      <c r="B1592" s="71" t="n"/>
      <c r="C1592" s="44" t="n"/>
      <c r="D1592" s="45" t="n"/>
      <c r="E1592" s="45" t="n"/>
      <c r="F1592" s="45" t="n"/>
      <c r="G1592" s="45" t="n"/>
      <c r="H1592" s="45" t="n"/>
      <c r="I1592" s="45" t="n"/>
      <c r="J1592" s="38" t="n"/>
    </row>
    <row r="1593">
      <c r="A1593" s="16">
        <f>IF($B1593="","",COUNTA($B$4:$B1593))</f>
        <v/>
      </c>
      <c r="B1593" s="72" t="n"/>
      <c r="C1593" s="46" t="n"/>
      <c r="D1593" s="47" t="n"/>
      <c r="E1593" s="47" t="n"/>
      <c r="F1593" s="47" t="n"/>
      <c r="G1593" s="47" t="n"/>
      <c r="H1593" s="47" t="n"/>
      <c r="I1593" s="47" t="n"/>
      <c r="J1593" s="40" t="n"/>
    </row>
    <row r="1594">
      <c r="A1594" s="16">
        <f>IF($B1594="","",COUNTA($B$4:$B1594))</f>
        <v/>
      </c>
      <c r="B1594" s="71" t="n"/>
      <c r="C1594" s="44" t="n"/>
      <c r="D1594" s="45" t="n"/>
      <c r="E1594" s="45" t="n"/>
      <c r="F1594" s="45" t="n"/>
      <c r="G1594" s="45" t="n"/>
      <c r="H1594" s="45" t="n"/>
      <c r="I1594" s="45" t="n"/>
      <c r="J1594" s="38" t="n"/>
    </row>
    <row r="1595">
      <c r="A1595" s="16">
        <f>IF($B1595="","",COUNTA($B$4:$B1595))</f>
        <v/>
      </c>
      <c r="B1595" s="72" t="n"/>
      <c r="C1595" s="46" t="n"/>
      <c r="D1595" s="47" t="n"/>
      <c r="E1595" s="47" t="n"/>
      <c r="F1595" s="47" t="n"/>
      <c r="G1595" s="47" t="n"/>
      <c r="H1595" s="47" t="n"/>
      <c r="I1595" s="47" t="n"/>
      <c r="J1595" s="40" t="n"/>
    </row>
    <row r="1596">
      <c r="A1596" s="16">
        <f>IF($B1596="","",COUNTA($B$4:$B1596))</f>
        <v/>
      </c>
      <c r="B1596" s="71" t="n"/>
      <c r="C1596" s="44" t="n"/>
      <c r="D1596" s="45" t="n"/>
      <c r="E1596" s="45" t="n"/>
      <c r="F1596" s="45" t="n"/>
      <c r="G1596" s="45" t="n"/>
      <c r="H1596" s="45" t="n"/>
      <c r="I1596" s="45" t="n"/>
      <c r="J1596" s="38" t="n"/>
    </row>
    <row r="1597">
      <c r="A1597" s="16">
        <f>IF($B1597="","",COUNTA($B$4:$B1597))</f>
        <v/>
      </c>
      <c r="B1597" s="72" t="n"/>
      <c r="C1597" s="46" t="n"/>
      <c r="D1597" s="47" t="n"/>
      <c r="E1597" s="47" t="n"/>
      <c r="F1597" s="47" t="n"/>
      <c r="G1597" s="47" t="n"/>
      <c r="H1597" s="47" t="n"/>
      <c r="I1597" s="47" t="n"/>
      <c r="J1597" s="40" t="n"/>
    </row>
    <row r="1598">
      <c r="A1598" s="16">
        <f>IF($B1598="","",COUNTA($B$4:$B1598))</f>
        <v/>
      </c>
      <c r="B1598" s="71" t="n"/>
      <c r="C1598" s="44" t="n"/>
      <c r="D1598" s="45" t="n"/>
      <c r="E1598" s="45" t="n"/>
      <c r="F1598" s="45" t="n"/>
      <c r="G1598" s="45" t="n"/>
      <c r="H1598" s="45" t="n"/>
      <c r="I1598" s="45" t="n"/>
      <c r="J1598" s="38" t="n"/>
    </row>
    <row r="1599">
      <c r="A1599" s="16">
        <f>IF($B1599="","",COUNTA($B$4:$B1599))</f>
        <v/>
      </c>
      <c r="B1599" s="72" t="n"/>
      <c r="C1599" s="46" t="n"/>
      <c r="D1599" s="47" t="n"/>
      <c r="E1599" s="47" t="n"/>
      <c r="F1599" s="47" t="n"/>
      <c r="G1599" s="47" t="n"/>
      <c r="H1599" s="47" t="n"/>
      <c r="I1599" s="47" t="n"/>
      <c r="J1599" s="40" t="n"/>
    </row>
    <row r="1600">
      <c r="A1600" s="16">
        <f>IF($B1600="","",COUNTA($B$4:$B1600))</f>
        <v/>
      </c>
      <c r="B1600" s="71" t="n"/>
      <c r="C1600" s="44" t="n"/>
      <c r="D1600" s="45" t="n"/>
      <c r="E1600" s="45" t="n"/>
      <c r="F1600" s="45" t="n"/>
      <c r="G1600" s="45" t="n"/>
      <c r="H1600" s="45" t="n"/>
      <c r="I1600" s="45" t="n"/>
      <c r="J1600" s="38" t="n"/>
    </row>
    <row r="1601">
      <c r="A1601" s="16">
        <f>IF($B1601="","",COUNTA($B$4:$B1601))</f>
        <v/>
      </c>
      <c r="B1601" s="72" t="n"/>
      <c r="C1601" s="46" t="n"/>
      <c r="D1601" s="47" t="n"/>
      <c r="E1601" s="47" t="n"/>
      <c r="F1601" s="47" t="n"/>
      <c r="G1601" s="47" t="n"/>
      <c r="H1601" s="47" t="n"/>
      <c r="I1601" s="47" t="n"/>
      <c r="J1601" s="40" t="n"/>
    </row>
    <row r="1602">
      <c r="A1602" s="16">
        <f>IF($B1602="","",COUNTA($B$4:$B1602))</f>
        <v/>
      </c>
      <c r="B1602" s="71" t="n"/>
      <c r="C1602" s="44" t="n"/>
      <c r="D1602" s="45" t="n"/>
      <c r="E1602" s="45" t="n"/>
      <c r="F1602" s="45" t="n"/>
      <c r="G1602" s="45" t="n"/>
      <c r="H1602" s="45" t="n"/>
      <c r="I1602" s="45" t="n"/>
      <c r="J1602" s="38" t="n"/>
    </row>
    <row r="1603">
      <c r="A1603" s="16">
        <f>IF($B1603="","",COUNTA($B$4:$B1603))</f>
        <v/>
      </c>
      <c r="B1603" s="72" t="n"/>
      <c r="C1603" s="46" t="n"/>
      <c r="D1603" s="47" t="n"/>
      <c r="E1603" s="47" t="n"/>
      <c r="F1603" s="47" t="n"/>
      <c r="G1603" s="47" t="n"/>
      <c r="H1603" s="47" t="n"/>
      <c r="I1603" s="47" t="n"/>
      <c r="J1603" s="40" t="n"/>
    </row>
    <row r="1604">
      <c r="A1604" s="16">
        <f>IF($B1604="","",COUNTA($B$4:$B1604))</f>
        <v/>
      </c>
      <c r="B1604" s="71" t="n"/>
      <c r="C1604" s="44" t="n"/>
      <c r="D1604" s="45" t="n"/>
      <c r="E1604" s="45" t="n"/>
      <c r="F1604" s="45" t="n"/>
      <c r="G1604" s="45" t="n"/>
      <c r="H1604" s="45" t="n"/>
      <c r="I1604" s="45" t="n"/>
      <c r="J1604" s="38" t="n"/>
    </row>
    <row r="1605">
      <c r="A1605" s="16">
        <f>IF($B1605="","",COUNTA($B$4:$B1605))</f>
        <v/>
      </c>
      <c r="B1605" s="72" t="n"/>
      <c r="C1605" s="46" t="n"/>
      <c r="D1605" s="47" t="n"/>
      <c r="E1605" s="47" t="n"/>
      <c r="F1605" s="47" t="n"/>
      <c r="G1605" s="47" t="n"/>
      <c r="H1605" s="47" t="n"/>
      <c r="I1605" s="47" t="n"/>
      <c r="J1605" s="40" t="n"/>
    </row>
    <row r="1606">
      <c r="A1606" s="16">
        <f>IF($B1606="","",COUNTA($B$4:$B1606))</f>
        <v/>
      </c>
      <c r="B1606" s="71" t="n"/>
      <c r="C1606" s="44" t="n"/>
      <c r="D1606" s="45" t="n"/>
      <c r="E1606" s="45" t="n"/>
      <c r="F1606" s="45" t="n"/>
      <c r="G1606" s="45" t="n"/>
      <c r="H1606" s="45" t="n"/>
      <c r="I1606" s="45" t="n"/>
      <c r="J1606" s="38" t="n"/>
    </row>
    <row r="1607">
      <c r="A1607" s="16">
        <f>IF($B1607="","",COUNTA($B$4:$B1607))</f>
        <v/>
      </c>
      <c r="B1607" s="72" t="n"/>
      <c r="C1607" s="46" t="n"/>
      <c r="D1607" s="47" t="n"/>
      <c r="E1607" s="47" t="n"/>
      <c r="F1607" s="47" t="n"/>
      <c r="G1607" s="47" t="n"/>
      <c r="H1607" s="47" t="n"/>
      <c r="I1607" s="47" t="n"/>
      <c r="J1607" s="40" t="n"/>
    </row>
    <row r="1608">
      <c r="A1608" s="16">
        <f>IF($B1608="","",COUNTA($B$4:$B1608))</f>
        <v/>
      </c>
      <c r="B1608" s="71" t="n"/>
      <c r="C1608" s="44" t="n"/>
      <c r="D1608" s="45" t="n"/>
      <c r="E1608" s="45" t="n"/>
      <c r="F1608" s="45" t="n"/>
      <c r="G1608" s="45" t="n"/>
      <c r="H1608" s="45" t="n"/>
      <c r="I1608" s="45" t="n"/>
      <c r="J1608" s="38" t="n"/>
    </row>
    <row r="1609">
      <c r="A1609" s="16">
        <f>IF($B1609="","",COUNTA($B$4:$B1609))</f>
        <v/>
      </c>
      <c r="B1609" s="72" t="n"/>
      <c r="C1609" s="46" t="n"/>
      <c r="D1609" s="47" t="n"/>
      <c r="E1609" s="47" t="n"/>
      <c r="F1609" s="47" t="n"/>
      <c r="G1609" s="47" t="n"/>
      <c r="H1609" s="47" t="n"/>
      <c r="I1609" s="47" t="n"/>
      <c r="J1609" s="40" t="n"/>
    </row>
    <row r="1610">
      <c r="A1610" s="16">
        <f>IF($B1610="","",COUNTA($B$4:$B1610))</f>
        <v/>
      </c>
      <c r="B1610" s="71" t="n"/>
      <c r="C1610" s="44" t="n"/>
      <c r="D1610" s="45" t="n"/>
      <c r="E1610" s="45" t="n"/>
      <c r="F1610" s="45" t="n"/>
      <c r="G1610" s="45" t="n"/>
      <c r="H1610" s="45" t="n"/>
      <c r="I1610" s="45" t="n"/>
      <c r="J1610" s="38" t="n"/>
    </row>
    <row r="1611">
      <c r="A1611" s="16">
        <f>IF($B1611="","",COUNTA($B$4:$B1611))</f>
        <v/>
      </c>
      <c r="B1611" s="72" t="n"/>
      <c r="C1611" s="46" t="n"/>
      <c r="D1611" s="47" t="n"/>
      <c r="E1611" s="47" t="n"/>
      <c r="F1611" s="47" t="n"/>
      <c r="G1611" s="47" t="n"/>
      <c r="H1611" s="47" t="n"/>
      <c r="I1611" s="47" t="n"/>
      <c r="J1611" s="40" t="n"/>
    </row>
    <row r="1612">
      <c r="A1612" s="16">
        <f>IF($B1612="","",COUNTA($B$4:$B1612))</f>
        <v/>
      </c>
      <c r="B1612" s="71" t="n"/>
      <c r="C1612" s="44" t="n"/>
      <c r="D1612" s="45" t="n"/>
      <c r="E1612" s="45" t="n"/>
      <c r="F1612" s="45" t="n"/>
      <c r="G1612" s="45" t="n"/>
      <c r="H1612" s="45" t="n"/>
      <c r="I1612" s="45" t="n"/>
      <c r="J1612" s="38" t="n"/>
    </row>
    <row r="1613">
      <c r="A1613" s="16">
        <f>IF($B1613="","",COUNTA($B$4:$B1613))</f>
        <v/>
      </c>
      <c r="B1613" s="72" t="n"/>
      <c r="C1613" s="46" t="n"/>
      <c r="D1613" s="47" t="n"/>
      <c r="E1613" s="47" t="n"/>
      <c r="F1613" s="47" t="n"/>
      <c r="G1613" s="47" t="n"/>
      <c r="H1613" s="47" t="n"/>
      <c r="I1613" s="47" t="n"/>
      <c r="J1613" s="40" t="n"/>
    </row>
    <row r="1614">
      <c r="A1614" s="16">
        <f>IF($B1614="","",COUNTA($B$4:$B1614))</f>
        <v/>
      </c>
      <c r="B1614" s="71" t="n"/>
      <c r="C1614" s="44" t="n"/>
      <c r="D1614" s="45" t="n"/>
      <c r="E1614" s="45" t="n"/>
      <c r="F1614" s="45" t="n"/>
      <c r="G1614" s="45" t="n"/>
      <c r="H1614" s="45" t="n"/>
      <c r="I1614" s="45" t="n"/>
      <c r="J1614" s="38" t="n"/>
    </row>
    <row r="1615">
      <c r="A1615" s="16">
        <f>IF($B1615="","",COUNTA($B$4:$B1615))</f>
        <v/>
      </c>
      <c r="B1615" s="72" t="n"/>
      <c r="C1615" s="46" t="n"/>
      <c r="D1615" s="47" t="n"/>
      <c r="E1615" s="47" t="n"/>
      <c r="F1615" s="47" t="n"/>
      <c r="G1615" s="47" t="n"/>
      <c r="H1615" s="47" t="n"/>
      <c r="I1615" s="47" t="n"/>
      <c r="J1615" s="40" t="n"/>
    </row>
    <row r="1616">
      <c r="A1616" s="16">
        <f>IF($B1616="","",COUNTA($B$4:$B1616))</f>
        <v/>
      </c>
      <c r="B1616" s="71" t="n"/>
      <c r="C1616" s="44" t="n"/>
      <c r="D1616" s="45" t="n"/>
      <c r="E1616" s="45" t="n"/>
      <c r="F1616" s="45" t="n"/>
      <c r="G1616" s="45" t="n"/>
      <c r="H1616" s="45" t="n"/>
      <c r="I1616" s="45" t="n"/>
      <c r="J1616" s="38" t="n"/>
    </row>
    <row r="1617">
      <c r="A1617" s="16">
        <f>IF($B1617="","",COUNTA($B$4:$B1617))</f>
        <v/>
      </c>
      <c r="B1617" s="72" t="n"/>
      <c r="C1617" s="46" t="n"/>
      <c r="D1617" s="47" t="n"/>
      <c r="E1617" s="47" t="n"/>
      <c r="F1617" s="47" t="n"/>
      <c r="G1617" s="47" t="n"/>
      <c r="H1617" s="47" t="n"/>
      <c r="I1617" s="47" t="n"/>
      <c r="J1617" s="40" t="n"/>
    </row>
    <row r="1618">
      <c r="A1618" s="16">
        <f>IF($B1618="","",COUNTA($B$4:$B1618))</f>
        <v/>
      </c>
      <c r="B1618" s="71" t="n"/>
      <c r="C1618" s="44" t="n"/>
      <c r="D1618" s="45" t="n"/>
      <c r="E1618" s="45" t="n"/>
      <c r="F1618" s="45" t="n"/>
      <c r="G1618" s="45" t="n"/>
      <c r="H1618" s="45" t="n"/>
      <c r="I1618" s="45" t="n"/>
      <c r="J1618" s="38" t="n"/>
    </row>
    <row r="1619">
      <c r="A1619" s="16">
        <f>IF($B1619="","",COUNTA($B$4:$B1619))</f>
        <v/>
      </c>
      <c r="B1619" s="72" t="n"/>
      <c r="C1619" s="46" t="n"/>
      <c r="D1619" s="47" t="n"/>
      <c r="E1619" s="47" t="n"/>
      <c r="F1619" s="47" t="n"/>
      <c r="G1619" s="47" t="n"/>
      <c r="H1619" s="47" t="n"/>
      <c r="I1619" s="47" t="n"/>
      <c r="J1619" s="40" t="n"/>
    </row>
    <row r="1620">
      <c r="A1620" s="16">
        <f>IF($B1620="","",COUNTA($B$4:$B1620))</f>
        <v/>
      </c>
      <c r="B1620" s="71" t="n"/>
      <c r="C1620" s="44" t="n"/>
      <c r="D1620" s="45" t="n"/>
      <c r="E1620" s="45" t="n"/>
      <c r="F1620" s="45" t="n"/>
      <c r="G1620" s="45" t="n"/>
      <c r="H1620" s="45" t="n"/>
      <c r="I1620" s="45" t="n"/>
      <c r="J1620" s="38" t="n"/>
    </row>
    <row r="1621">
      <c r="A1621" s="16">
        <f>IF($B1621="","",COUNTA($B$4:$B1621))</f>
        <v/>
      </c>
      <c r="B1621" s="72" t="n"/>
      <c r="C1621" s="46" t="n"/>
      <c r="D1621" s="47" t="n"/>
      <c r="E1621" s="47" t="n"/>
      <c r="F1621" s="47" t="n"/>
      <c r="G1621" s="47" t="n"/>
      <c r="H1621" s="47" t="n"/>
      <c r="I1621" s="47" t="n"/>
      <c r="J1621" s="40" t="n"/>
    </row>
    <row r="1622">
      <c r="A1622" s="16">
        <f>IF($B1622="","",COUNTA($B$4:$B1622))</f>
        <v/>
      </c>
      <c r="B1622" s="71" t="n"/>
      <c r="C1622" s="44" t="n"/>
      <c r="D1622" s="45" t="n"/>
      <c r="E1622" s="45" t="n"/>
      <c r="F1622" s="45" t="n"/>
      <c r="G1622" s="45" t="n"/>
      <c r="H1622" s="45" t="n"/>
      <c r="I1622" s="45" t="n"/>
      <c r="J1622" s="38" t="n"/>
    </row>
    <row r="1623">
      <c r="A1623" s="16">
        <f>IF($B1623="","",COUNTA($B$4:$B1623))</f>
        <v/>
      </c>
      <c r="B1623" s="72" t="n"/>
      <c r="C1623" s="46" t="n"/>
      <c r="D1623" s="47" t="n"/>
      <c r="E1623" s="47" t="n"/>
      <c r="F1623" s="47" t="n"/>
      <c r="G1623" s="47" t="n"/>
      <c r="H1623" s="47" t="n"/>
      <c r="I1623" s="47" t="n"/>
      <c r="J1623" s="40" t="n"/>
    </row>
    <row r="1624">
      <c r="A1624" s="16">
        <f>IF($B1624="","",COUNTA($B$4:$B1624))</f>
        <v/>
      </c>
      <c r="B1624" s="71" t="n"/>
      <c r="C1624" s="44" t="n"/>
      <c r="D1624" s="45" t="n"/>
      <c r="E1624" s="45" t="n"/>
      <c r="F1624" s="45" t="n"/>
      <c r="G1624" s="45" t="n"/>
      <c r="H1624" s="45" t="n"/>
      <c r="I1624" s="45" t="n"/>
      <c r="J1624" s="38" t="n"/>
    </row>
    <row r="1625">
      <c r="A1625" s="16">
        <f>IF($B1625="","",COUNTA($B$4:$B1625))</f>
        <v/>
      </c>
      <c r="B1625" s="72" t="n"/>
      <c r="C1625" s="46" t="n"/>
      <c r="D1625" s="47" t="n"/>
      <c r="E1625" s="47" t="n"/>
      <c r="F1625" s="47" t="n"/>
      <c r="G1625" s="47" t="n"/>
      <c r="H1625" s="47" t="n"/>
      <c r="I1625" s="47" t="n"/>
      <c r="J1625" s="40" t="n"/>
    </row>
    <row r="1626">
      <c r="A1626" s="16">
        <f>IF($B1626="","",COUNTA($B$4:$B1626))</f>
        <v/>
      </c>
      <c r="B1626" s="71" t="n"/>
      <c r="C1626" s="44" t="n"/>
      <c r="D1626" s="45" t="n"/>
      <c r="E1626" s="45" t="n"/>
      <c r="F1626" s="45" t="n"/>
      <c r="G1626" s="45" t="n"/>
      <c r="H1626" s="45" t="n"/>
      <c r="I1626" s="45" t="n"/>
      <c r="J1626" s="38" t="n"/>
    </row>
    <row r="1627">
      <c r="A1627" s="16">
        <f>IF($B1627="","",COUNTA($B$4:$B1627))</f>
        <v/>
      </c>
      <c r="B1627" s="72" t="n"/>
      <c r="C1627" s="46" t="n"/>
      <c r="D1627" s="47" t="n"/>
      <c r="E1627" s="47" t="n"/>
      <c r="F1627" s="47" t="n"/>
      <c r="G1627" s="47" t="n"/>
      <c r="H1627" s="47" t="n"/>
      <c r="I1627" s="47" t="n"/>
      <c r="J1627" s="40" t="n"/>
    </row>
    <row r="1628">
      <c r="A1628" s="16">
        <f>IF($B1628="","",COUNTA($B$4:$B1628))</f>
        <v/>
      </c>
      <c r="B1628" s="71" t="n"/>
      <c r="C1628" s="44" t="n"/>
      <c r="D1628" s="45" t="n"/>
      <c r="E1628" s="45" t="n"/>
      <c r="F1628" s="45" t="n"/>
      <c r="G1628" s="45" t="n"/>
      <c r="H1628" s="45" t="n"/>
      <c r="I1628" s="45" t="n"/>
      <c r="J1628" s="38" t="n"/>
    </row>
    <row r="1629">
      <c r="A1629" s="16">
        <f>IF($B1629="","",COUNTA($B$4:$B1629))</f>
        <v/>
      </c>
      <c r="B1629" s="72" t="n"/>
      <c r="C1629" s="46" t="n"/>
      <c r="D1629" s="47" t="n"/>
      <c r="E1629" s="47" t="n"/>
      <c r="F1629" s="47" t="n"/>
      <c r="G1629" s="47" t="n"/>
      <c r="H1629" s="47" t="n"/>
      <c r="I1629" s="47" t="n"/>
      <c r="J1629" s="40" t="n"/>
    </row>
    <row r="1630">
      <c r="A1630" s="16">
        <f>IF($B1630="","",COUNTA($B$4:$B1630))</f>
        <v/>
      </c>
      <c r="B1630" s="71" t="n"/>
      <c r="C1630" s="44" t="n"/>
      <c r="D1630" s="45" t="n"/>
      <c r="E1630" s="45" t="n"/>
      <c r="F1630" s="45" t="n"/>
      <c r="G1630" s="45" t="n"/>
      <c r="H1630" s="45" t="n"/>
      <c r="I1630" s="45" t="n"/>
      <c r="J1630" s="38" t="n"/>
    </row>
    <row r="1631">
      <c r="A1631" s="16">
        <f>IF($B1631="","",COUNTA($B$4:$B1631))</f>
        <v/>
      </c>
      <c r="B1631" s="72" t="n"/>
      <c r="C1631" s="46" t="n"/>
      <c r="D1631" s="47" t="n"/>
      <c r="E1631" s="47" t="n"/>
      <c r="F1631" s="47" t="n"/>
      <c r="G1631" s="47" t="n"/>
      <c r="H1631" s="47" t="n"/>
      <c r="I1631" s="47" t="n"/>
      <c r="J1631" s="40" t="n"/>
    </row>
    <row r="1632">
      <c r="A1632" s="16">
        <f>IF($B1632="","",COUNTA($B$4:$B1632))</f>
        <v/>
      </c>
      <c r="B1632" s="71" t="n"/>
      <c r="C1632" s="44" t="n"/>
      <c r="D1632" s="45" t="n"/>
      <c r="E1632" s="45" t="n"/>
      <c r="F1632" s="45" t="n"/>
      <c r="G1632" s="45" t="n"/>
      <c r="H1632" s="45" t="n"/>
      <c r="I1632" s="45" t="n"/>
      <c r="J1632" s="38" t="n"/>
    </row>
    <row r="1633">
      <c r="A1633" s="16">
        <f>IF($B1633="","",COUNTA($B$4:$B1633))</f>
        <v/>
      </c>
      <c r="B1633" s="72" t="n"/>
      <c r="C1633" s="46" t="n"/>
      <c r="D1633" s="47" t="n"/>
      <c r="E1633" s="47" t="n"/>
      <c r="F1633" s="47" t="n"/>
      <c r="G1633" s="47" t="n"/>
      <c r="H1633" s="47" t="n"/>
      <c r="I1633" s="47" t="n"/>
      <c r="J1633" s="40" t="n"/>
    </row>
    <row r="1634">
      <c r="A1634" s="16">
        <f>IF($B1634="","",COUNTA($B$4:$B1634))</f>
        <v/>
      </c>
      <c r="B1634" s="71" t="n"/>
      <c r="C1634" s="44" t="n"/>
      <c r="D1634" s="45" t="n"/>
      <c r="E1634" s="45" t="n"/>
      <c r="F1634" s="45" t="n"/>
      <c r="G1634" s="45" t="n"/>
      <c r="H1634" s="45" t="n"/>
      <c r="I1634" s="45" t="n"/>
      <c r="J1634" s="38" t="n"/>
    </row>
    <row r="1635">
      <c r="A1635" s="16">
        <f>IF($B1635="","",COUNTA($B$4:$B1635))</f>
        <v/>
      </c>
      <c r="B1635" s="72" t="n"/>
      <c r="C1635" s="46" t="n"/>
      <c r="D1635" s="47" t="n"/>
      <c r="E1635" s="47" t="n"/>
      <c r="F1635" s="47" t="n"/>
      <c r="G1635" s="47" t="n"/>
      <c r="H1635" s="47" t="n"/>
      <c r="I1635" s="47" t="n"/>
      <c r="J1635" s="40" t="n"/>
    </row>
    <row r="1636">
      <c r="A1636" s="16">
        <f>IF($B1636="","",COUNTA($B$4:$B1636))</f>
        <v/>
      </c>
      <c r="B1636" s="71" t="n"/>
      <c r="C1636" s="44" t="n"/>
      <c r="D1636" s="45" t="n"/>
      <c r="E1636" s="45" t="n"/>
      <c r="F1636" s="45" t="n"/>
      <c r="G1636" s="45" t="n"/>
      <c r="H1636" s="45" t="n"/>
      <c r="I1636" s="45" t="n"/>
      <c r="J1636" s="38" t="n"/>
    </row>
    <row r="1637">
      <c r="A1637" s="16">
        <f>IF($B1637="","",COUNTA($B$4:$B1637))</f>
        <v/>
      </c>
      <c r="B1637" s="72" t="n"/>
      <c r="C1637" s="46" t="n"/>
      <c r="D1637" s="47" t="n"/>
      <c r="E1637" s="47" t="n"/>
      <c r="F1637" s="47" t="n"/>
      <c r="G1637" s="47" t="n"/>
      <c r="H1637" s="47" t="n"/>
      <c r="I1637" s="47" t="n"/>
      <c r="J1637" s="40" t="n"/>
    </row>
    <row r="1638">
      <c r="A1638" s="16">
        <f>IF($B1638="","",COUNTA($B$4:$B1638))</f>
        <v/>
      </c>
      <c r="B1638" s="71" t="n"/>
      <c r="C1638" s="44" t="n"/>
      <c r="D1638" s="45" t="n"/>
      <c r="E1638" s="45" t="n"/>
      <c r="F1638" s="45" t="n"/>
      <c r="G1638" s="45" t="n"/>
      <c r="H1638" s="45" t="n"/>
      <c r="I1638" s="45" t="n"/>
      <c r="J1638" s="38" t="n"/>
    </row>
    <row r="1639">
      <c r="A1639" s="16">
        <f>IF($B1639="","",COUNTA($B$4:$B1639))</f>
        <v/>
      </c>
      <c r="B1639" s="72" t="n"/>
      <c r="C1639" s="46" t="n"/>
      <c r="D1639" s="47" t="n"/>
      <c r="E1639" s="47" t="n"/>
      <c r="F1639" s="47" t="n"/>
      <c r="G1639" s="47" t="n"/>
      <c r="H1639" s="47" t="n"/>
      <c r="I1639" s="47" t="n"/>
      <c r="J1639" s="40" t="n"/>
    </row>
    <row r="1640">
      <c r="A1640" s="16">
        <f>IF($B1640="","",COUNTA($B$4:$B1640))</f>
        <v/>
      </c>
      <c r="B1640" s="71" t="n"/>
      <c r="C1640" s="44" t="n"/>
      <c r="D1640" s="45" t="n"/>
      <c r="E1640" s="45" t="n"/>
      <c r="F1640" s="45" t="n"/>
      <c r="G1640" s="45" t="n"/>
      <c r="H1640" s="45" t="n"/>
      <c r="I1640" s="45" t="n"/>
      <c r="J1640" s="38" t="n"/>
    </row>
    <row r="1641">
      <c r="A1641" s="16">
        <f>IF($B1641="","",COUNTA($B$4:$B1641))</f>
        <v/>
      </c>
      <c r="B1641" s="72" t="n"/>
      <c r="C1641" s="46" t="n"/>
      <c r="D1641" s="47" t="n"/>
      <c r="E1641" s="47" t="n"/>
      <c r="F1641" s="47" t="n"/>
      <c r="G1641" s="47" t="n"/>
      <c r="H1641" s="47" t="n"/>
      <c r="I1641" s="47" t="n"/>
      <c r="J1641" s="40" t="n"/>
    </row>
    <row r="1642">
      <c r="A1642" s="16">
        <f>IF($B1642="","",COUNTA($B$4:$B1642))</f>
        <v/>
      </c>
      <c r="B1642" s="71" t="n"/>
      <c r="C1642" s="44" t="n"/>
      <c r="D1642" s="45" t="n"/>
      <c r="E1642" s="45" t="n"/>
      <c r="F1642" s="45" t="n"/>
      <c r="G1642" s="45" t="n"/>
      <c r="H1642" s="45" t="n"/>
      <c r="I1642" s="45" t="n"/>
      <c r="J1642" s="38" t="n"/>
    </row>
    <row r="1643">
      <c r="A1643" s="16">
        <f>IF($B1643="","",COUNTA($B$4:$B1643))</f>
        <v/>
      </c>
      <c r="B1643" s="72" t="n"/>
      <c r="C1643" s="46" t="n"/>
      <c r="D1643" s="47" t="n"/>
      <c r="E1643" s="47" t="n"/>
      <c r="F1643" s="47" t="n"/>
      <c r="G1643" s="47" t="n"/>
      <c r="H1643" s="47" t="n"/>
      <c r="I1643" s="47" t="n"/>
      <c r="J1643" s="40" t="n"/>
    </row>
    <row r="1644">
      <c r="A1644" s="16">
        <f>IF($B1644="","",COUNTA($B$4:$B1644))</f>
        <v/>
      </c>
      <c r="B1644" s="71" t="n"/>
      <c r="C1644" s="44" t="n"/>
      <c r="D1644" s="45" t="n"/>
      <c r="E1644" s="45" t="n"/>
      <c r="F1644" s="45" t="n"/>
      <c r="G1644" s="45" t="n"/>
      <c r="H1644" s="45" t="n"/>
      <c r="I1644" s="45" t="n"/>
      <c r="J1644" s="38" t="n"/>
    </row>
    <row r="1645">
      <c r="A1645" s="16">
        <f>IF($B1645="","",COUNTA($B$4:$B1645))</f>
        <v/>
      </c>
      <c r="B1645" s="72" t="n"/>
      <c r="C1645" s="46" t="n"/>
      <c r="D1645" s="47" t="n"/>
      <c r="E1645" s="47" t="n"/>
      <c r="F1645" s="47" t="n"/>
      <c r="G1645" s="47" t="n"/>
      <c r="H1645" s="47" t="n"/>
      <c r="I1645" s="47" t="n"/>
      <c r="J1645" s="40" t="n"/>
    </row>
    <row r="1646">
      <c r="A1646" s="16">
        <f>IF($B1646="","",COUNTA($B$4:$B1646))</f>
        <v/>
      </c>
      <c r="B1646" s="71" t="n"/>
      <c r="C1646" s="44" t="n"/>
      <c r="D1646" s="45" t="n"/>
      <c r="E1646" s="45" t="n"/>
      <c r="F1646" s="45" t="n"/>
      <c r="G1646" s="45" t="n"/>
      <c r="H1646" s="45" t="n"/>
      <c r="I1646" s="45" t="n"/>
      <c r="J1646" s="38" t="n"/>
    </row>
    <row r="1647">
      <c r="A1647" s="16">
        <f>IF($B1647="","",COUNTA($B$4:$B1647))</f>
        <v/>
      </c>
      <c r="B1647" s="72" t="n"/>
      <c r="C1647" s="46" t="n"/>
      <c r="D1647" s="47" t="n"/>
      <c r="E1647" s="47" t="n"/>
      <c r="F1647" s="47" t="n"/>
      <c r="G1647" s="47" t="n"/>
      <c r="H1647" s="47" t="n"/>
      <c r="I1647" s="47" t="n"/>
      <c r="J1647" s="40" t="n"/>
    </row>
    <row r="1648">
      <c r="A1648" s="16">
        <f>IF($B1648="","",COUNTA($B$4:$B1648))</f>
        <v/>
      </c>
      <c r="B1648" s="71" t="n"/>
      <c r="C1648" s="44" t="n"/>
      <c r="D1648" s="45" t="n"/>
      <c r="E1648" s="45" t="n"/>
      <c r="F1648" s="45" t="n"/>
      <c r="G1648" s="45" t="n"/>
      <c r="H1648" s="45" t="n"/>
      <c r="I1648" s="45" t="n"/>
      <c r="J1648" s="38" t="n"/>
    </row>
    <row r="1649">
      <c r="A1649" s="16">
        <f>IF($B1649="","",COUNTA($B$4:$B1649))</f>
        <v/>
      </c>
      <c r="B1649" s="72" t="n"/>
      <c r="C1649" s="46" t="n"/>
      <c r="D1649" s="47" t="n"/>
      <c r="E1649" s="47" t="n"/>
      <c r="F1649" s="47" t="n"/>
      <c r="G1649" s="47" t="n"/>
      <c r="H1649" s="47" t="n"/>
      <c r="I1649" s="47" t="n"/>
      <c r="J1649" s="40" t="n"/>
    </row>
    <row r="1650">
      <c r="A1650" s="16">
        <f>IF($B1650="","",COUNTA($B$4:$B1650))</f>
        <v/>
      </c>
      <c r="B1650" s="71" t="n"/>
      <c r="C1650" s="44" t="n"/>
      <c r="D1650" s="45" t="n"/>
      <c r="E1650" s="45" t="n"/>
      <c r="F1650" s="45" t="n"/>
      <c r="G1650" s="45" t="n"/>
      <c r="H1650" s="45" t="n"/>
      <c r="I1650" s="45" t="n"/>
      <c r="J1650" s="38" t="n"/>
    </row>
    <row r="1651">
      <c r="A1651" s="16">
        <f>IF($B1651="","",COUNTA($B$4:$B1651))</f>
        <v/>
      </c>
      <c r="B1651" s="72" t="n"/>
      <c r="C1651" s="46" t="n"/>
      <c r="D1651" s="47" t="n"/>
      <c r="E1651" s="47" t="n"/>
      <c r="F1651" s="47" t="n"/>
      <c r="G1651" s="47" t="n"/>
      <c r="H1651" s="47" t="n"/>
      <c r="I1651" s="47" t="n"/>
      <c r="J1651" s="40" t="n"/>
    </row>
    <row r="1652">
      <c r="A1652" s="16">
        <f>IF($B1652="","",COUNTA($B$4:$B1652))</f>
        <v/>
      </c>
      <c r="B1652" s="71" t="n"/>
      <c r="C1652" s="44" t="n"/>
      <c r="D1652" s="45" t="n"/>
      <c r="E1652" s="45" t="n"/>
      <c r="F1652" s="45" t="n"/>
      <c r="G1652" s="45" t="n"/>
      <c r="H1652" s="45" t="n"/>
      <c r="I1652" s="45" t="n"/>
      <c r="J1652" s="38" t="n"/>
    </row>
    <row r="1653">
      <c r="A1653" s="16">
        <f>IF($B1653="","",COUNTA($B$4:$B1653))</f>
        <v/>
      </c>
      <c r="B1653" s="72" t="n"/>
      <c r="C1653" s="46" t="n"/>
      <c r="D1653" s="47" t="n"/>
      <c r="E1653" s="47" t="n"/>
      <c r="F1653" s="47" t="n"/>
      <c r="G1653" s="47" t="n"/>
      <c r="H1653" s="47" t="n"/>
      <c r="I1653" s="47" t="n"/>
      <c r="J1653" s="40" t="n"/>
    </row>
    <row r="1654">
      <c r="A1654" s="16">
        <f>IF($B1654="","",COUNTA($B$4:$B1654))</f>
        <v/>
      </c>
      <c r="B1654" s="71" t="n"/>
      <c r="C1654" s="44" t="n"/>
      <c r="D1654" s="45" t="n"/>
      <c r="E1654" s="45" t="n"/>
      <c r="F1654" s="45" t="n"/>
      <c r="G1654" s="45" t="n"/>
      <c r="H1654" s="45" t="n"/>
      <c r="I1654" s="45" t="n"/>
      <c r="J1654" s="38" t="n"/>
    </row>
    <row r="1655">
      <c r="A1655" s="16">
        <f>IF($B1655="","",COUNTA($B$4:$B1655))</f>
        <v/>
      </c>
      <c r="B1655" s="72" t="n"/>
      <c r="C1655" s="46" t="n"/>
      <c r="D1655" s="47" t="n"/>
      <c r="E1655" s="47" t="n"/>
      <c r="F1655" s="47" t="n"/>
      <c r="G1655" s="47" t="n"/>
      <c r="H1655" s="47" t="n"/>
      <c r="I1655" s="47" t="n"/>
      <c r="J1655" s="40" t="n"/>
    </row>
    <row r="1656">
      <c r="A1656" s="16">
        <f>IF($B1656="","",COUNTA($B$4:$B1656))</f>
        <v/>
      </c>
      <c r="B1656" s="71" t="n"/>
      <c r="C1656" s="44" t="n"/>
      <c r="D1656" s="45" t="n"/>
      <c r="E1656" s="45" t="n"/>
      <c r="F1656" s="45" t="n"/>
      <c r="G1656" s="45" t="n"/>
      <c r="H1656" s="45" t="n"/>
      <c r="I1656" s="45" t="n"/>
      <c r="J1656" s="38" t="n"/>
    </row>
    <row r="1657">
      <c r="A1657" s="16">
        <f>IF($B1657="","",COUNTA($B$4:$B1657))</f>
        <v/>
      </c>
      <c r="B1657" s="72" t="n"/>
      <c r="C1657" s="46" t="n"/>
      <c r="D1657" s="47" t="n"/>
      <c r="E1657" s="47" t="n"/>
      <c r="F1657" s="47" t="n"/>
      <c r="G1657" s="47" t="n"/>
      <c r="H1657" s="47" t="n"/>
      <c r="I1657" s="47" t="n"/>
      <c r="J1657" s="40" t="n"/>
    </row>
    <row r="1658">
      <c r="A1658" s="16">
        <f>IF($B1658="","",COUNTA($B$4:$B1658))</f>
        <v/>
      </c>
      <c r="B1658" s="71" t="n"/>
      <c r="C1658" s="44" t="n"/>
      <c r="D1658" s="45" t="n"/>
      <c r="E1658" s="45" t="n"/>
      <c r="F1658" s="45" t="n"/>
      <c r="G1658" s="45" t="n"/>
      <c r="H1658" s="45" t="n"/>
      <c r="I1658" s="45" t="n"/>
      <c r="J1658" s="38" t="n"/>
    </row>
    <row r="1659">
      <c r="A1659" s="16">
        <f>IF($B1659="","",COUNTA($B$4:$B1659))</f>
        <v/>
      </c>
      <c r="B1659" s="72" t="n"/>
      <c r="C1659" s="46" t="n"/>
      <c r="D1659" s="47" t="n"/>
      <c r="E1659" s="47" t="n"/>
      <c r="F1659" s="47" t="n"/>
      <c r="G1659" s="47" t="n"/>
      <c r="H1659" s="47" t="n"/>
      <c r="I1659" s="47" t="n"/>
      <c r="J1659" s="40" t="n"/>
    </row>
    <row r="1660">
      <c r="A1660" s="16">
        <f>IF($B1660="","",COUNTA($B$4:$B1660))</f>
        <v/>
      </c>
      <c r="B1660" s="71" t="n"/>
      <c r="C1660" s="44" t="n"/>
      <c r="D1660" s="45" t="n"/>
      <c r="E1660" s="45" t="n"/>
      <c r="F1660" s="45" t="n"/>
      <c r="G1660" s="45" t="n"/>
      <c r="H1660" s="45" t="n"/>
      <c r="I1660" s="45" t="n"/>
      <c r="J1660" s="38" t="n"/>
    </row>
    <row r="1661">
      <c r="A1661" s="16">
        <f>IF($B1661="","",COUNTA($B$4:$B1661))</f>
        <v/>
      </c>
      <c r="B1661" s="72" t="n"/>
      <c r="C1661" s="46" t="n"/>
      <c r="D1661" s="47" t="n"/>
      <c r="E1661" s="47" t="n"/>
      <c r="F1661" s="47" t="n"/>
      <c r="G1661" s="47" t="n"/>
      <c r="H1661" s="47" t="n"/>
      <c r="I1661" s="47" t="n"/>
      <c r="J1661" s="40" t="n"/>
    </row>
    <row r="1662">
      <c r="A1662" s="16">
        <f>IF($B1662="","",COUNTA($B$4:$B1662))</f>
        <v/>
      </c>
      <c r="B1662" s="71" t="n"/>
      <c r="C1662" s="44" t="n"/>
      <c r="D1662" s="45" t="n"/>
      <c r="E1662" s="45" t="n"/>
      <c r="F1662" s="45" t="n"/>
      <c r="G1662" s="45" t="n"/>
      <c r="H1662" s="45" t="n"/>
      <c r="I1662" s="45" t="n"/>
      <c r="J1662" s="38" t="n"/>
    </row>
    <row r="1663">
      <c r="A1663" s="16">
        <f>IF($B1663="","",COUNTA($B$4:$B1663))</f>
        <v/>
      </c>
      <c r="B1663" s="72" t="n"/>
      <c r="C1663" s="46" t="n"/>
      <c r="D1663" s="47" t="n"/>
      <c r="E1663" s="47" t="n"/>
      <c r="F1663" s="47" t="n"/>
      <c r="G1663" s="47" t="n"/>
      <c r="H1663" s="47" t="n"/>
      <c r="I1663" s="47" t="n"/>
      <c r="J1663" s="40" t="n"/>
    </row>
    <row r="1664">
      <c r="A1664" s="16">
        <f>IF($B1664="","",COUNTA($B$4:$B1664))</f>
        <v/>
      </c>
      <c r="B1664" s="71" t="n"/>
      <c r="C1664" s="44" t="n"/>
      <c r="D1664" s="45" t="n"/>
      <c r="E1664" s="45" t="n"/>
      <c r="F1664" s="45" t="n"/>
      <c r="G1664" s="45" t="n"/>
      <c r="H1664" s="45" t="n"/>
      <c r="I1664" s="45" t="n"/>
      <c r="J1664" s="38" t="n"/>
    </row>
    <row r="1665">
      <c r="A1665" s="16">
        <f>IF($B1665="","",COUNTA($B$4:$B1665))</f>
        <v/>
      </c>
      <c r="B1665" s="72" t="n"/>
      <c r="C1665" s="46" t="n"/>
      <c r="D1665" s="47" t="n"/>
      <c r="E1665" s="47" t="n"/>
      <c r="F1665" s="47" t="n"/>
      <c r="G1665" s="47" t="n"/>
      <c r="H1665" s="47" t="n"/>
      <c r="I1665" s="47" t="n"/>
      <c r="J1665" s="40" t="n"/>
    </row>
    <row r="1666">
      <c r="A1666" s="16">
        <f>IF($B1666="","",COUNTA($B$4:$B1666))</f>
        <v/>
      </c>
      <c r="B1666" s="71" t="n"/>
      <c r="C1666" s="44" t="n"/>
      <c r="D1666" s="45" t="n"/>
      <c r="E1666" s="45" t="n"/>
      <c r="F1666" s="45" t="n"/>
      <c r="G1666" s="45" t="n"/>
      <c r="H1666" s="45" t="n"/>
      <c r="I1666" s="45" t="n"/>
      <c r="J1666" s="38" t="n"/>
    </row>
    <row r="1667">
      <c r="A1667" s="16">
        <f>IF($B1667="","",COUNTA($B$4:$B1667))</f>
        <v/>
      </c>
      <c r="B1667" s="72" t="n"/>
      <c r="C1667" s="46" t="n"/>
      <c r="D1667" s="47" t="n"/>
      <c r="E1667" s="47" t="n"/>
      <c r="F1667" s="47" t="n"/>
      <c r="G1667" s="47" t="n"/>
      <c r="H1667" s="47" t="n"/>
      <c r="I1667" s="47" t="n"/>
      <c r="J1667" s="40" t="n"/>
    </row>
    <row r="1668">
      <c r="A1668" s="16">
        <f>IF($B1668="","",COUNTA($B$4:$B1668))</f>
        <v/>
      </c>
      <c r="B1668" s="71" t="n"/>
      <c r="C1668" s="44" t="n"/>
      <c r="D1668" s="45" t="n"/>
      <c r="E1668" s="45" t="n"/>
      <c r="F1668" s="45" t="n"/>
      <c r="G1668" s="45" t="n"/>
      <c r="H1668" s="45" t="n"/>
      <c r="I1668" s="45" t="n"/>
      <c r="J1668" s="38" t="n"/>
    </row>
    <row r="1669">
      <c r="A1669" s="16">
        <f>IF($B1669="","",COUNTA($B$4:$B1669))</f>
        <v/>
      </c>
      <c r="B1669" s="72" t="n"/>
      <c r="C1669" s="46" t="n"/>
      <c r="D1669" s="47" t="n"/>
      <c r="E1669" s="47" t="n"/>
      <c r="F1669" s="47" t="n"/>
      <c r="G1669" s="47" t="n"/>
      <c r="H1669" s="47" t="n"/>
      <c r="I1669" s="47" t="n"/>
      <c r="J1669" s="40" t="n"/>
    </row>
    <row r="1670">
      <c r="A1670" s="16">
        <f>IF($B1670="","",COUNTA($B$4:$B1670))</f>
        <v/>
      </c>
      <c r="B1670" s="71" t="n"/>
      <c r="C1670" s="44" t="n"/>
      <c r="D1670" s="45" t="n"/>
      <c r="E1670" s="45" t="n"/>
      <c r="F1670" s="45" t="n"/>
      <c r="G1670" s="45" t="n"/>
      <c r="H1670" s="45" t="n"/>
      <c r="I1670" s="45" t="n"/>
      <c r="J1670" s="38" t="n"/>
    </row>
    <row r="1671">
      <c r="A1671" s="16">
        <f>IF($B1671="","",COUNTA($B$4:$B1671))</f>
        <v/>
      </c>
      <c r="B1671" s="72" t="n"/>
      <c r="C1671" s="46" t="n"/>
      <c r="D1671" s="47" t="n"/>
      <c r="E1671" s="47" t="n"/>
      <c r="F1671" s="47" t="n"/>
      <c r="G1671" s="47" t="n"/>
      <c r="H1671" s="47" t="n"/>
      <c r="I1671" s="47" t="n"/>
      <c r="J1671" s="40" t="n"/>
    </row>
    <row r="1672">
      <c r="A1672" s="16">
        <f>IF($B1672="","",COUNTA($B$4:$B1672))</f>
        <v/>
      </c>
      <c r="B1672" s="71" t="n"/>
      <c r="C1672" s="44" t="n"/>
      <c r="D1672" s="45" t="n"/>
      <c r="E1672" s="45" t="n"/>
      <c r="F1672" s="45" t="n"/>
      <c r="G1672" s="45" t="n"/>
      <c r="H1672" s="45" t="n"/>
      <c r="I1672" s="45" t="n"/>
      <c r="J1672" s="38" t="n"/>
    </row>
    <row r="1673">
      <c r="A1673" s="16">
        <f>IF($B1673="","",COUNTA($B$4:$B1673))</f>
        <v/>
      </c>
      <c r="B1673" s="72" t="n"/>
      <c r="C1673" s="46" t="n"/>
      <c r="D1673" s="47" t="n"/>
      <c r="E1673" s="47" t="n"/>
      <c r="F1673" s="47" t="n"/>
      <c r="G1673" s="47" t="n"/>
      <c r="H1673" s="47" t="n"/>
      <c r="I1673" s="47" t="n"/>
      <c r="J1673" s="40" t="n"/>
    </row>
    <row r="1674">
      <c r="A1674" s="16">
        <f>IF($B1674="","",COUNTA($B$4:$B1674))</f>
        <v/>
      </c>
      <c r="B1674" s="71" t="n"/>
      <c r="C1674" s="44" t="n"/>
      <c r="D1674" s="45" t="n"/>
      <c r="E1674" s="45" t="n"/>
      <c r="F1674" s="45" t="n"/>
      <c r="G1674" s="45" t="n"/>
      <c r="H1674" s="45" t="n"/>
      <c r="I1674" s="45" t="n"/>
      <c r="J1674" s="38" t="n"/>
    </row>
    <row r="1675">
      <c r="A1675" s="16">
        <f>IF($B1675="","",COUNTA($B$4:$B1675))</f>
        <v/>
      </c>
      <c r="B1675" s="72" t="n"/>
      <c r="C1675" s="46" t="n"/>
      <c r="D1675" s="47" t="n"/>
      <c r="E1675" s="47" t="n"/>
      <c r="F1675" s="47" t="n"/>
      <c r="G1675" s="47" t="n"/>
      <c r="H1675" s="47" t="n"/>
      <c r="I1675" s="47" t="n"/>
      <c r="J1675" s="40" t="n"/>
    </row>
    <row r="1676">
      <c r="A1676" s="16">
        <f>IF($B1676="","",COUNTA($B$4:$B1676))</f>
        <v/>
      </c>
      <c r="B1676" s="71" t="n"/>
      <c r="C1676" s="44" t="n"/>
      <c r="D1676" s="45" t="n"/>
      <c r="E1676" s="45" t="n"/>
      <c r="F1676" s="45" t="n"/>
      <c r="G1676" s="45" t="n"/>
      <c r="H1676" s="45" t="n"/>
      <c r="I1676" s="45" t="n"/>
      <c r="J1676" s="38" t="n"/>
    </row>
    <row r="1677">
      <c r="A1677" s="16">
        <f>IF($B1677="","",COUNTA($B$4:$B1677))</f>
        <v/>
      </c>
      <c r="B1677" s="72" t="n"/>
      <c r="C1677" s="46" t="n"/>
      <c r="D1677" s="47" t="n"/>
      <c r="E1677" s="47" t="n"/>
      <c r="F1677" s="47" t="n"/>
      <c r="G1677" s="47" t="n"/>
      <c r="H1677" s="47" t="n"/>
      <c r="I1677" s="47" t="n"/>
      <c r="J1677" s="40" t="n"/>
    </row>
    <row r="1678">
      <c r="A1678" s="16">
        <f>IF($B1678="","",COUNTA($B$4:$B1678))</f>
        <v/>
      </c>
      <c r="B1678" s="71" t="n"/>
      <c r="C1678" s="44" t="n"/>
      <c r="D1678" s="45" t="n"/>
      <c r="E1678" s="45" t="n"/>
      <c r="F1678" s="45" t="n"/>
      <c r="G1678" s="45" t="n"/>
      <c r="H1678" s="45" t="n"/>
      <c r="I1678" s="45" t="n"/>
      <c r="J1678" s="38" t="n"/>
    </row>
    <row r="1679">
      <c r="A1679" s="16">
        <f>IF($B1679="","",COUNTA($B$4:$B1679))</f>
        <v/>
      </c>
      <c r="B1679" s="72" t="n"/>
      <c r="C1679" s="46" t="n"/>
      <c r="D1679" s="47" t="n"/>
      <c r="E1679" s="47" t="n"/>
      <c r="F1679" s="47" t="n"/>
      <c r="G1679" s="47" t="n"/>
      <c r="H1679" s="47" t="n"/>
      <c r="I1679" s="47" t="n"/>
      <c r="J1679" s="40" t="n"/>
    </row>
    <row r="1680">
      <c r="A1680" s="16">
        <f>IF($B1680="","",COUNTA($B$4:$B1680))</f>
        <v/>
      </c>
      <c r="B1680" s="71" t="n"/>
      <c r="C1680" s="44" t="n"/>
      <c r="D1680" s="45" t="n"/>
      <c r="E1680" s="45" t="n"/>
      <c r="F1680" s="45" t="n"/>
      <c r="G1680" s="45" t="n"/>
      <c r="H1680" s="45" t="n"/>
      <c r="I1680" s="45" t="n"/>
      <c r="J1680" s="38" t="n"/>
    </row>
    <row r="1681">
      <c r="A1681" s="16">
        <f>IF($B1681="","",COUNTA($B$4:$B1681))</f>
        <v/>
      </c>
      <c r="B1681" s="72" t="n"/>
      <c r="C1681" s="46" t="n"/>
      <c r="D1681" s="47" t="n"/>
      <c r="E1681" s="47" t="n"/>
      <c r="F1681" s="47" t="n"/>
      <c r="G1681" s="47" t="n"/>
      <c r="H1681" s="47" t="n"/>
      <c r="I1681" s="47" t="n"/>
      <c r="J1681" s="40" t="n"/>
    </row>
    <row r="1682">
      <c r="A1682" s="16">
        <f>IF($B1682="","",COUNTA($B$4:$B1682))</f>
        <v/>
      </c>
      <c r="B1682" s="71" t="n"/>
      <c r="C1682" s="44" t="n"/>
      <c r="D1682" s="45" t="n"/>
      <c r="E1682" s="45" t="n"/>
      <c r="F1682" s="45" t="n"/>
      <c r="G1682" s="45" t="n"/>
      <c r="H1682" s="45" t="n"/>
      <c r="I1682" s="45" t="n"/>
      <c r="J1682" s="38" t="n"/>
    </row>
    <row r="1683">
      <c r="A1683" s="16">
        <f>IF($B1683="","",COUNTA($B$4:$B1683))</f>
        <v/>
      </c>
      <c r="B1683" s="72" t="n"/>
      <c r="C1683" s="46" t="n"/>
      <c r="D1683" s="47" t="n"/>
      <c r="E1683" s="47" t="n"/>
      <c r="F1683" s="47" t="n"/>
      <c r="G1683" s="47" t="n"/>
      <c r="H1683" s="47" t="n"/>
      <c r="I1683" s="47" t="n"/>
      <c r="J1683" s="40" t="n"/>
    </row>
    <row r="1684">
      <c r="A1684" s="16">
        <f>IF($B1684="","",COUNTA($B$4:$B1684))</f>
        <v/>
      </c>
      <c r="B1684" s="71" t="n"/>
      <c r="C1684" s="44" t="n"/>
      <c r="D1684" s="45" t="n"/>
      <c r="E1684" s="45" t="n"/>
      <c r="F1684" s="45" t="n"/>
      <c r="G1684" s="45" t="n"/>
      <c r="H1684" s="45" t="n"/>
      <c r="I1684" s="45" t="n"/>
      <c r="J1684" s="38" t="n"/>
    </row>
    <row r="1685">
      <c r="A1685" s="16">
        <f>IF($B1685="","",COUNTA($B$4:$B1685))</f>
        <v/>
      </c>
      <c r="B1685" s="72" t="n"/>
      <c r="C1685" s="46" t="n"/>
      <c r="D1685" s="47" t="n"/>
      <c r="E1685" s="47" t="n"/>
      <c r="F1685" s="47" t="n"/>
      <c r="G1685" s="47" t="n"/>
      <c r="H1685" s="47" t="n"/>
      <c r="I1685" s="47" t="n"/>
      <c r="J1685" s="40" t="n"/>
    </row>
    <row r="1686">
      <c r="A1686" s="16">
        <f>IF($B1686="","",COUNTA($B$4:$B1686))</f>
        <v/>
      </c>
      <c r="B1686" s="71" t="n"/>
      <c r="C1686" s="44" t="n"/>
      <c r="D1686" s="45" t="n"/>
      <c r="E1686" s="45" t="n"/>
      <c r="F1686" s="45" t="n"/>
      <c r="G1686" s="45" t="n"/>
      <c r="H1686" s="45" t="n"/>
      <c r="I1686" s="45" t="n"/>
      <c r="J1686" s="38" t="n"/>
    </row>
    <row r="1687">
      <c r="A1687" s="16">
        <f>IF($B1687="","",COUNTA($B$4:$B1687))</f>
        <v/>
      </c>
      <c r="B1687" s="72" t="n"/>
      <c r="C1687" s="46" t="n"/>
      <c r="D1687" s="47" t="n"/>
      <c r="E1687" s="47" t="n"/>
      <c r="F1687" s="47" t="n"/>
      <c r="G1687" s="47" t="n"/>
      <c r="H1687" s="47" t="n"/>
      <c r="I1687" s="47" t="n"/>
      <c r="J1687" s="40" t="n"/>
    </row>
    <row r="1688">
      <c r="A1688" s="16">
        <f>IF($B1688="","",COUNTA($B$4:$B1688))</f>
        <v/>
      </c>
      <c r="B1688" s="71" t="n"/>
      <c r="C1688" s="44" t="n"/>
      <c r="D1688" s="45" t="n"/>
      <c r="E1688" s="45" t="n"/>
      <c r="F1688" s="45" t="n"/>
      <c r="G1688" s="45" t="n"/>
      <c r="H1688" s="45" t="n"/>
      <c r="I1688" s="45" t="n"/>
      <c r="J1688" s="38" t="n"/>
    </row>
    <row r="1689">
      <c r="A1689" s="16">
        <f>IF($B1689="","",COUNTA($B$4:$B1689))</f>
        <v/>
      </c>
      <c r="B1689" s="72" t="n"/>
      <c r="C1689" s="46" t="n"/>
      <c r="D1689" s="47" t="n"/>
      <c r="E1689" s="47" t="n"/>
      <c r="F1689" s="47" t="n"/>
      <c r="G1689" s="47" t="n"/>
      <c r="H1689" s="47" t="n"/>
      <c r="I1689" s="47" t="n"/>
      <c r="J1689" s="40" t="n"/>
    </row>
    <row r="1690">
      <c r="A1690" s="16">
        <f>IF($B1690="","",COUNTA($B$4:$B1690))</f>
        <v/>
      </c>
      <c r="B1690" s="71" t="n"/>
      <c r="C1690" s="44" t="n"/>
      <c r="D1690" s="45" t="n"/>
      <c r="E1690" s="45" t="n"/>
      <c r="F1690" s="45" t="n"/>
      <c r="G1690" s="45" t="n"/>
      <c r="H1690" s="45" t="n"/>
      <c r="I1690" s="45" t="n"/>
      <c r="J1690" s="38" t="n"/>
    </row>
    <row r="1691">
      <c r="A1691" s="16">
        <f>IF($B1691="","",COUNTA($B$4:$B1691))</f>
        <v/>
      </c>
      <c r="B1691" s="72" t="n"/>
      <c r="C1691" s="46" t="n"/>
      <c r="D1691" s="47" t="n"/>
      <c r="E1691" s="47" t="n"/>
      <c r="F1691" s="47" t="n"/>
      <c r="G1691" s="47" t="n"/>
      <c r="H1691" s="47" t="n"/>
      <c r="I1691" s="47" t="n"/>
      <c r="J1691" s="40" t="n"/>
    </row>
    <row r="1692">
      <c r="A1692" s="16">
        <f>IF($B1692="","",COUNTA($B$4:$B1692))</f>
        <v/>
      </c>
      <c r="B1692" s="71" t="n"/>
      <c r="C1692" s="44" t="n"/>
      <c r="D1692" s="45" t="n"/>
      <c r="E1692" s="45" t="n"/>
      <c r="F1692" s="45" t="n"/>
      <c r="G1692" s="45" t="n"/>
      <c r="H1692" s="45" t="n"/>
      <c r="I1692" s="45" t="n"/>
      <c r="J1692" s="38" t="n"/>
    </row>
    <row r="1693">
      <c r="A1693" s="16">
        <f>IF($B1693="","",COUNTA($B$4:$B1693))</f>
        <v/>
      </c>
      <c r="B1693" s="72" t="n"/>
      <c r="C1693" s="46" t="n"/>
      <c r="D1693" s="47" t="n"/>
      <c r="E1693" s="47" t="n"/>
      <c r="F1693" s="47" t="n"/>
      <c r="G1693" s="47" t="n"/>
      <c r="H1693" s="47" t="n"/>
      <c r="I1693" s="47" t="n"/>
      <c r="J1693" s="40" t="n"/>
    </row>
    <row r="1694">
      <c r="A1694" s="16">
        <f>IF($B1694="","",COUNTA($B$4:$B1694))</f>
        <v/>
      </c>
      <c r="B1694" s="71" t="n"/>
      <c r="C1694" s="44" t="n"/>
      <c r="D1694" s="45" t="n"/>
      <c r="E1694" s="45" t="n"/>
      <c r="F1694" s="45" t="n"/>
      <c r="G1694" s="45" t="n"/>
      <c r="H1694" s="45" t="n"/>
      <c r="I1694" s="45" t="n"/>
      <c r="J1694" s="38" t="n"/>
    </row>
    <row r="1695">
      <c r="A1695" s="16">
        <f>IF($B1695="","",COUNTA($B$4:$B1695))</f>
        <v/>
      </c>
      <c r="B1695" s="72" t="n"/>
      <c r="C1695" s="46" t="n"/>
      <c r="D1695" s="47" t="n"/>
      <c r="E1695" s="47" t="n"/>
      <c r="F1695" s="47" t="n"/>
      <c r="G1695" s="47" t="n"/>
      <c r="H1695" s="47" t="n"/>
      <c r="I1695" s="47" t="n"/>
      <c r="J1695" s="40" t="n"/>
    </row>
    <row r="1696">
      <c r="A1696" s="16">
        <f>IF($B1696="","",COUNTA($B$4:$B1696))</f>
        <v/>
      </c>
      <c r="B1696" s="71" t="n"/>
      <c r="C1696" s="44" t="n"/>
      <c r="D1696" s="45" t="n"/>
      <c r="E1696" s="45" t="n"/>
      <c r="F1696" s="45" t="n"/>
      <c r="G1696" s="45" t="n"/>
      <c r="H1696" s="45" t="n"/>
      <c r="I1696" s="45" t="n"/>
      <c r="J1696" s="38" t="n"/>
    </row>
    <row r="1697">
      <c r="A1697" s="16">
        <f>IF($B1697="","",COUNTA($B$4:$B1697))</f>
        <v/>
      </c>
      <c r="B1697" s="72" t="n"/>
      <c r="C1697" s="46" t="n"/>
      <c r="D1697" s="47" t="n"/>
      <c r="E1697" s="47" t="n"/>
      <c r="F1697" s="47" t="n"/>
      <c r="G1697" s="47" t="n"/>
      <c r="H1697" s="47" t="n"/>
      <c r="I1697" s="47" t="n"/>
      <c r="J1697" s="40" t="n"/>
    </row>
    <row r="1698">
      <c r="A1698" s="16">
        <f>IF($B1698="","",COUNTA($B$4:$B1698))</f>
        <v/>
      </c>
      <c r="B1698" s="71" t="n"/>
      <c r="C1698" s="44" t="n"/>
      <c r="D1698" s="45" t="n"/>
      <c r="E1698" s="45" t="n"/>
      <c r="F1698" s="45" t="n"/>
      <c r="G1698" s="45" t="n"/>
      <c r="H1698" s="45" t="n"/>
      <c r="I1698" s="45" t="n"/>
      <c r="J1698" s="38" t="n"/>
    </row>
    <row r="1699">
      <c r="A1699" s="16">
        <f>IF($B1699="","",COUNTA($B$4:$B1699))</f>
        <v/>
      </c>
      <c r="B1699" s="72" t="n"/>
      <c r="C1699" s="46" t="n"/>
      <c r="D1699" s="47" t="n"/>
      <c r="E1699" s="47" t="n"/>
      <c r="F1699" s="47" t="n"/>
      <c r="G1699" s="47" t="n"/>
      <c r="H1699" s="47" t="n"/>
      <c r="I1699" s="47" t="n"/>
      <c r="J1699" s="40" t="n"/>
    </row>
    <row r="1700">
      <c r="A1700" s="16">
        <f>IF($B1700="","",COUNTA($B$4:$B1700))</f>
        <v/>
      </c>
      <c r="B1700" s="71" t="n"/>
      <c r="C1700" s="44" t="n"/>
      <c r="D1700" s="45" t="n"/>
      <c r="E1700" s="45" t="n"/>
      <c r="F1700" s="45" t="n"/>
      <c r="G1700" s="45" t="n"/>
      <c r="H1700" s="45" t="n"/>
      <c r="I1700" s="45" t="n"/>
      <c r="J1700" s="38" t="n"/>
    </row>
    <row r="1701">
      <c r="A1701" s="16">
        <f>IF($B1701="","",COUNTA($B$4:$B1701))</f>
        <v/>
      </c>
      <c r="B1701" s="72" t="n"/>
      <c r="C1701" s="46" t="n"/>
      <c r="D1701" s="47" t="n"/>
      <c r="E1701" s="47" t="n"/>
      <c r="F1701" s="47" t="n"/>
      <c r="G1701" s="47" t="n"/>
      <c r="H1701" s="47" t="n"/>
      <c r="I1701" s="47" t="n"/>
      <c r="J1701" s="40" t="n"/>
    </row>
    <row r="1702">
      <c r="A1702" s="16">
        <f>IF($B1702="","",COUNTA($B$4:$B1702))</f>
        <v/>
      </c>
      <c r="B1702" s="71" t="n"/>
      <c r="C1702" s="44" t="n"/>
      <c r="D1702" s="45" t="n"/>
      <c r="E1702" s="45" t="n"/>
      <c r="F1702" s="45" t="n"/>
      <c r="G1702" s="45" t="n"/>
      <c r="H1702" s="45" t="n"/>
      <c r="I1702" s="45" t="n"/>
      <c r="J1702" s="38" t="n"/>
    </row>
    <row r="1703">
      <c r="A1703" s="16">
        <f>IF($B1703="","",COUNTA($B$4:$B1703))</f>
        <v/>
      </c>
      <c r="B1703" s="72" t="n"/>
      <c r="C1703" s="46" t="n"/>
      <c r="D1703" s="47" t="n"/>
      <c r="E1703" s="47" t="n"/>
      <c r="F1703" s="47" t="n"/>
      <c r="G1703" s="47" t="n"/>
      <c r="H1703" s="47" t="n"/>
      <c r="I1703" s="47" t="n"/>
      <c r="J1703" s="40" t="n"/>
    </row>
    <row r="1704">
      <c r="A1704" s="16">
        <f>IF($B1704="","",COUNTA($B$4:$B1704))</f>
        <v/>
      </c>
      <c r="B1704" s="71" t="n"/>
      <c r="C1704" s="44" t="n"/>
      <c r="D1704" s="45" t="n"/>
      <c r="E1704" s="45" t="n"/>
      <c r="F1704" s="45" t="n"/>
      <c r="G1704" s="45" t="n"/>
      <c r="H1704" s="45" t="n"/>
      <c r="I1704" s="45" t="n"/>
      <c r="J1704" s="38" t="n"/>
    </row>
    <row r="1705">
      <c r="A1705" s="16">
        <f>IF($B1705="","",COUNTA($B$4:$B1705))</f>
        <v/>
      </c>
      <c r="B1705" s="72" t="n"/>
      <c r="C1705" s="46" t="n"/>
      <c r="D1705" s="47" t="n"/>
      <c r="E1705" s="47" t="n"/>
      <c r="F1705" s="47" t="n"/>
      <c r="G1705" s="47" t="n"/>
      <c r="H1705" s="47" t="n"/>
      <c r="I1705" s="47" t="n"/>
      <c r="J1705" s="40" t="n"/>
    </row>
    <row r="1706">
      <c r="A1706" s="16">
        <f>IF($B1706="","",COUNTA($B$4:$B1706))</f>
        <v/>
      </c>
      <c r="B1706" s="71" t="n"/>
      <c r="C1706" s="44" t="n"/>
      <c r="D1706" s="45" t="n"/>
      <c r="E1706" s="45" t="n"/>
      <c r="F1706" s="45" t="n"/>
      <c r="G1706" s="45" t="n"/>
      <c r="H1706" s="45" t="n"/>
      <c r="I1706" s="45" t="n"/>
      <c r="J1706" s="38" t="n"/>
    </row>
    <row r="1707">
      <c r="A1707" s="16">
        <f>IF($B1707="","",COUNTA($B$4:$B1707))</f>
        <v/>
      </c>
      <c r="B1707" s="72" t="n"/>
      <c r="C1707" s="46" t="n"/>
      <c r="D1707" s="47" t="n"/>
      <c r="E1707" s="47" t="n"/>
      <c r="F1707" s="47" t="n"/>
      <c r="G1707" s="47" t="n"/>
      <c r="H1707" s="47" t="n"/>
      <c r="I1707" s="47" t="n"/>
      <c r="J1707" s="40" t="n"/>
    </row>
    <row r="1708">
      <c r="A1708" s="16">
        <f>IF($B1708="","",COUNTA($B$4:$B1708))</f>
        <v/>
      </c>
      <c r="B1708" s="71" t="n"/>
      <c r="C1708" s="44" t="n"/>
      <c r="D1708" s="45" t="n"/>
      <c r="E1708" s="45" t="n"/>
      <c r="F1708" s="45" t="n"/>
      <c r="G1708" s="45" t="n"/>
      <c r="H1708" s="45" t="n"/>
      <c r="I1708" s="45" t="n"/>
      <c r="J1708" s="38" t="n"/>
    </row>
    <row r="1709">
      <c r="A1709" s="16">
        <f>IF($B1709="","",COUNTA($B$4:$B1709))</f>
        <v/>
      </c>
      <c r="B1709" s="72" t="n"/>
      <c r="C1709" s="46" t="n"/>
      <c r="D1709" s="47" t="n"/>
      <c r="E1709" s="47" t="n"/>
      <c r="F1709" s="47" t="n"/>
      <c r="G1709" s="47" t="n"/>
      <c r="H1709" s="47" t="n"/>
      <c r="I1709" s="47" t="n"/>
      <c r="J1709" s="40" t="n"/>
    </row>
    <row r="1710">
      <c r="A1710" s="16">
        <f>IF($B1710="","",COUNTA($B$4:$B1710))</f>
        <v/>
      </c>
      <c r="B1710" s="71" t="n"/>
      <c r="C1710" s="44" t="n"/>
      <c r="D1710" s="45" t="n"/>
      <c r="E1710" s="45" t="n"/>
      <c r="F1710" s="45" t="n"/>
      <c r="G1710" s="45" t="n"/>
      <c r="H1710" s="45" t="n"/>
      <c r="I1710" s="45" t="n"/>
      <c r="J1710" s="38" t="n"/>
    </row>
    <row r="1711">
      <c r="A1711" s="16">
        <f>IF($B1711="","",COUNTA($B$4:$B1711))</f>
        <v/>
      </c>
      <c r="B1711" s="72" t="n"/>
      <c r="C1711" s="46" t="n"/>
      <c r="D1711" s="47" t="n"/>
      <c r="E1711" s="47" t="n"/>
      <c r="F1711" s="47" t="n"/>
      <c r="G1711" s="47" t="n"/>
      <c r="H1711" s="47" t="n"/>
      <c r="I1711" s="47" t="n"/>
      <c r="J1711" s="40" t="n"/>
    </row>
    <row r="1712">
      <c r="A1712" s="16">
        <f>IF($B1712="","",COUNTA($B$4:$B1712))</f>
        <v/>
      </c>
      <c r="B1712" s="71" t="n"/>
      <c r="C1712" s="44" t="n"/>
      <c r="D1712" s="45" t="n"/>
      <c r="E1712" s="45" t="n"/>
      <c r="F1712" s="45" t="n"/>
      <c r="G1712" s="45" t="n"/>
      <c r="H1712" s="45" t="n"/>
      <c r="I1712" s="45" t="n"/>
      <c r="J1712" s="38" t="n"/>
    </row>
    <row r="1713">
      <c r="A1713" s="16">
        <f>IF($B1713="","",COUNTA($B$4:$B1713))</f>
        <v/>
      </c>
      <c r="B1713" s="72" t="n"/>
      <c r="C1713" s="46" t="n"/>
      <c r="D1713" s="47" t="n"/>
      <c r="E1713" s="47" t="n"/>
      <c r="F1713" s="47" t="n"/>
      <c r="G1713" s="47" t="n"/>
      <c r="H1713" s="47" t="n"/>
      <c r="I1713" s="47" t="n"/>
      <c r="J1713" s="40" t="n"/>
    </row>
    <row r="1714">
      <c r="A1714" s="16">
        <f>IF($B1714="","",COUNTA($B$4:$B1714))</f>
        <v/>
      </c>
      <c r="B1714" s="71" t="n"/>
      <c r="C1714" s="44" t="n"/>
      <c r="D1714" s="45" t="n"/>
      <c r="E1714" s="45" t="n"/>
      <c r="F1714" s="45" t="n"/>
      <c r="G1714" s="45" t="n"/>
      <c r="H1714" s="45" t="n"/>
      <c r="I1714" s="45" t="n"/>
      <c r="J1714" s="38" t="n"/>
    </row>
    <row r="1715">
      <c r="A1715" s="16">
        <f>IF($B1715="","",COUNTA($B$4:$B1715))</f>
        <v/>
      </c>
      <c r="B1715" s="72" t="n"/>
      <c r="C1715" s="46" t="n"/>
      <c r="D1715" s="47" t="n"/>
      <c r="E1715" s="47" t="n"/>
      <c r="F1715" s="47" t="n"/>
      <c r="G1715" s="47" t="n"/>
      <c r="H1715" s="47" t="n"/>
      <c r="I1715" s="47" t="n"/>
      <c r="J1715" s="40" t="n"/>
    </row>
    <row r="1716">
      <c r="A1716" s="16">
        <f>IF($B1716="","",COUNTA($B$4:$B1716))</f>
        <v/>
      </c>
      <c r="B1716" s="71" t="n"/>
      <c r="C1716" s="44" t="n"/>
      <c r="D1716" s="45" t="n"/>
      <c r="E1716" s="45" t="n"/>
      <c r="F1716" s="45" t="n"/>
      <c r="G1716" s="45" t="n"/>
      <c r="H1716" s="45" t="n"/>
      <c r="I1716" s="45" t="n"/>
      <c r="J1716" s="38" t="n"/>
    </row>
    <row r="1717">
      <c r="A1717" s="16">
        <f>IF($B1717="","",COUNTA($B$4:$B1717))</f>
        <v/>
      </c>
      <c r="B1717" s="72" t="n"/>
      <c r="C1717" s="46" t="n"/>
      <c r="D1717" s="47" t="n"/>
      <c r="E1717" s="47" t="n"/>
      <c r="F1717" s="47" t="n"/>
      <c r="G1717" s="47" t="n"/>
      <c r="H1717" s="47" t="n"/>
      <c r="I1717" s="47" t="n"/>
      <c r="J1717" s="40" t="n"/>
    </row>
    <row r="1718">
      <c r="A1718" s="16">
        <f>IF($B1718="","",COUNTA($B$4:$B1718))</f>
        <v/>
      </c>
      <c r="B1718" s="71" t="n"/>
      <c r="C1718" s="44" t="n"/>
      <c r="D1718" s="45" t="n"/>
      <c r="E1718" s="45" t="n"/>
      <c r="F1718" s="45" t="n"/>
      <c r="G1718" s="45" t="n"/>
      <c r="H1718" s="45" t="n"/>
      <c r="I1718" s="45" t="n"/>
      <c r="J1718" s="38" t="n"/>
    </row>
    <row r="1719">
      <c r="A1719" s="16">
        <f>IF($B1719="","",COUNTA($B$4:$B1719))</f>
        <v/>
      </c>
      <c r="B1719" s="72" t="n"/>
      <c r="C1719" s="46" t="n"/>
      <c r="D1719" s="47" t="n"/>
      <c r="E1719" s="47" t="n"/>
      <c r="F1719" s="47" t="n"/>
      <c r="G1719" s="47" t="n"/>
      <c r="H1719" s="47" t="n"/>
      <c r="I1719" s="47" t="n"/>
      <c r="J1719" s="40" t="n"/>
    </row>
    <row r="1720">
      <c r="A1720" s="16">
        <f>IF($B1720="","",COUNTA($B$4:$B1720))</f>
        <v/>
      </c>
      <c r="B1720" s="71" t="n"/>
      <c r="C1720" s="44" t="n"/>
      <c r="D1720" s="45" t="n"/>
      <c r="E1720" s="45" t="n"/>
      <c r="F1720" s="45" t="n"/>
      <c r="G1720" s="45" t="n"/>
      <c r="H1720" s="45" t="n"/>
      <c r="I1720" s="45" t="n"/>
      <c r="J1720" s="38" t="n"/>
    </row>
    <row r="1721">
      <c r="A1721" s="16">
        <f>IF($B1721="","",COUNTA($B$4:$B1721))</f>
        <v/>
      </c>
      <c r="B1721" s="72" t="n"/>
      <c r="C1721" s="46" t="n"/>
      <c r="D1721" s="47" t="n"/>
      <c r="E1721" s="47" t="n"/>
      <c r="F1721" s="47" t="n"/>
      <c r="G1721" s="47" t="n"/>
      <c r="H1721" s="47" t="n"/>
      <c r="I1721" s="47" t="n"/>
      <c r="J1721" s="40" t="n"/>
    </row>
    <row r="1722">
      <c r="A1722" s="16">
        <f>IF($B1722="","",COUNTA($B$4:$B1722))</f>
        <v/>
      </c>
      <c r="B1722" s="71" t="n"/>
      <c r="C1722" s="44" t="n"/>
      <c r="D1722" s="45" t="n"/>
      <c r="E1722" s="45" t="n"/>
      <c r="F1722" s="45" t="n"/>
      <c r="G1722" s="45" t="n"/>
      <c r="H1722" s="45" t="n"/>
      <c r="I1722" s="45" t="n"/>
      <c r="J1722" s="38" t="n"/>
    </row>
    <row r="1723">
      <c r="A1723" s="16">
        <f>IF($B1723="","",COUNTA($B$4:$B1723))</f>
        <v/>
      </c>
      <c r="B1723" s="72" t="n"/>
      <c r="C1723" s="46" t="n"/>
      <c r="D1723" s="47" t="n"/>
      <c r="E1723" s="47" t="n"/>
      <c r="F1723" s="47" t="n"/>
      <c r="G1723" s="47" t="n"/>
      <c r="H1723" s="47" t="n"/>
      <c r="I1723" s="47" t="n"/>
      <c r="J1723" s="40" t="n"/>
    </row>
    <row r="1724">
      <c r="A1724" s="16">
        <f>IF($B1724="","",COUNTA($B$4:$B1724))</f>
        <v/>
      </c>
      <c r="B1724" s="71" t="n"/>
      <c r="C1724" s="44" t="n"/>
      <c r="D1724" s="45" t="n"/>
      <c r="E1724" s="45" t="n"/>
      <c r="F1724" s="45" t="n"/>
      <c r="G1724" s="45" t="n"/>
      <c r="H1724" s="45" t="n"/>
      <c r="I1724" s="45" t="n"/>
      <c r="J1724" s="38" t="n"/>
    </row>
    <row r="1725">
      <c r="A1725" s="16">
        <f>IF($B1725="","",COUNTA($B$4:$B1725))</f>
        <v/>
      </c>
      <c r="B1725" s="72" t="n"/>
      <c r="C1725" s="46" t="n"/>
      <c r="D1725" s="47" t="n"/>
      <c r="E1725" s="47" t="n"/>
      <c r="F1725" s="47" t="n"/>
      <c r="G1725" s="47" t="n"/>
      <c r="H1725" s="47" t="n"/>
      <c r="I1725" s="47" t="n"/>
      <c r="J1725" s="40" t="n"/>
    </row>
    <row r="1726">
      <c r="A1726" s="16">
        <f>IF($B1726="","",COUNTA($B$4:$B1726))</f>
        <v/>
      </c>
      <c r="B1726" s="71" t="n"/>
      <c r="C1726" s="44" t="n"/>
      <c r="D1726" s="45" t="n"/>
      <c r="E1726" s="45" t="n"/>
      <c r="F1726" s="45" t="n"/>
      <c r="G1726" s="45" t="n"/>
      <c r="H1726" s="45" t="n"/>
      <c r="I1726" s="45" t="n"/>
      <c r="J1726" s="38" t="n"/>
    </row>
    <row r="1727">
      <c r="A1727" s="16">
        <f>IF($B1727="","",COUNTA($B$4:$B1727))</f>
        <v/>
      </c>
      <c r="B1727" s="72" t="n"/>
      <c r="C1727" s="46" t="n"/>
      <c r="D1727" s="47" t="n"/>
      <c r="E1727" s="47" t="n"/>
      <c r="F1727" s="47" t="n"/>
      <c r="G1727" s="47" t="n"/>
      <c r="H1727" s="47" t="n"/>
      <c r="I1727" s="47" t="n"/>
      <c r="J1727" s="40" t="n"/>
    </row>
    <row r="1728">
      <c r="A1728" s="16">
        <f>IF($B1728="","",COUNTA($B$4:$B1728))</f>
        <v/>
      </c>
      <c r="B1728" s="71" t="n"/>
      <c r="C1728" s="44" t="n"/>
      <c r="D1728" s="45" t="n"/>
      <c r="E1728" s="45" t="n"/>
      <c r="F1728" s="45" t="n"/>
      <c r="G1728" s="45" t="n"/>
      <c r="H1728" s="45" t="n"/>
      <c r="I1728" s="45" t="n"/>
      <c r="J1728" s="38" t="n"/>
    </row>
    <row r="1729">
      <c r="A1729" s="16">
        <f>IF($B1729="","",COUNTA($B$4:$B1729))</f>
        <v/>
      </c>
      <c r="B1729" s="72" t="n"/>
      <c r="C1729" s="46" t="n"/>
      <c r="D1729" s="47" t="n"/>
      <c r="E1729" s="47" t="n"/>
      <c r="F1729" s="47" t="n"/>
      <c r="G1729" s="47" t="n"/>
      <c r="H1729" s="47" t="n"/>
      <c r="I1729" s="47" t="n"/>
      <c r="J1729" s="40" t="n"/>
    </row>
    <row r="1730">
      <c r="A1730" s="16">
        <f>IF($B1730="","",COUNTA($B$4:$B1730))</f>
        <v/>
      </c>
      <c r="B1730" s="71" t="n"/>
      <c r="C1730" s="44" t="n"/>
      <c r="D1730" s="45" t="n"/>
      <c r="E1730" s="45" t="n"/>
      <c r="F1730" s="45" t="n"/>
      <c r="G1730" s="45" t="n"/>
      <c r="H1730" s="45" t="n"/>
      <c r="I1730" s="45" t="n"/>
      <c r="J1730" s="38" t="n"/>
    </row>
    <row r="1731">
      <c r="A1731" s="16">
        <f>IF($B1731="","",COUNTA($B$4:$B1731))</f>
        <v/>
      </c>
      <c r="B1731" s="72" t="n"/>
      <c r="C1731" s="46" t="n"/>
      <c r="D1731" s="47" t="n"/>
      <c r="E1731" s="47" t="n"/>
      <c r="F1731" s="47" t="n"/>
      <c r="G1731" s="47" t="n"/>
      <c r="H1731" s="47" t="n"/>
      <c r="I1731" s="47" t="n"/>
      <c r="J1731" s="40" t="n"/>
    </row>
    <row r="1732">
      <c r="A1732" s="16">
        <f>IF($B1732="","",COUNTA($B$4:$B1732))</f>
        <v/>
      </c>
      <c r="B1732" s="71" t="n"/>
      <c r="C1732" s="44" t="n"/>
      <c r="D1732" s="45" t="n"/>
      <c r="E1732" s="45" t="n"/>
      <c r="F1732" s="45" t="n"/>
      <c r="G1732" s="45" t="n"/>
      <c r="H1732" s="45" t="n"/>
      <c r="I1732" s="45" t="n"/>
      <c r="J1732" s="38" t="n"/>
    </row>
    <row r="1733">
      <c r="A1733" s="16">
        <f>IF($B1733="","",COUNTA($B$4:$B1733))</f>
        <v/>
      </c>
      <c r="B1733" s="72" t="n"/>
      <c r="C1733" s="46" t="n"/>
      <c r="D1733" s="47" t="n"/>
      <c r="E1733" s="47" t="n"/>
      <c r="F1733" s="47" t="n"/>
      <c r="G1733" s="47" t="n"/>
      <c r="H1733" s="47" t="n"/>
      <c r="I1733" s="47" t="n"/>
      <c r="J1733" s="40" t="n"/>
    </row>
    <row r="1734">
      <c r="A1734" s="16">
        <f>IF($B1734="","",COUNTA($B$4:$B1734))</f>
        <v/>
      </c>
      <c r="B1734" s="71" t="n"/>
      <c r="C1734" s="44" t="n"/>
      <c r="D1734" s="45" t="n"/>
      <c r="E1734" s="45" t="n"/>
      <c r="F1734" s="45" t="n"/>
      <c r="G1734" s="45" t="n"/>
      <c r="H1734" s="45" t="n"/>
      <c r="I1734" s="45" t="n"/>
      <c r="J1734" s="38" t="n"/>
    </row>
    <row r="1735">
      <c r="A1735" s="16">
        <f>IF($B1735="","",COUNTA($B$4:$B1735))</f>
        <v/>
      </c>
      <c r="B1735" s="72" t="n"/>
      <c r="C1735" s="46" t="n"/>
      <c r="D1735" s="47" t="n"/>
      <c r="E1735" s="47" t="n"/>
      <c r="F1735" s="47" t="n"/>
      <c r="G1735" s="47" t="n"/>
      <c r="H1735" s="47" t="n"/>
      <c r="I1735" s="47" t="n"/>
      <c r="J1735" s="40" t="n"/>
    </row>
    <row r="1736">
      <c r="A1736" s="16">
        <f>IF($B1736="","",COUNTA($B$4:$B1736))</f>
        <v/>
      </c>
      <c r="B1736" s="71" t="n"/>
      <c r="C1736" s="44" t="n"/>
      <c r="D1736" s="45" t="n"/>
      <c r="E1736" s="45" t="n"/>
      <c r="F1736" s="45" t="n"/>
      <c r="G1736" s="45" t="n"/>
      <c r="H1736" s="45" t="n"/>
      <c r="I1736" s="45" t="n"/>
      <c r="J1736" s="38" t="n"/>
    </row>
    <row r="1737">
      <c r="A1737" s="16">
        <f>IF($B1737="","",COUNTA($B$4:$B1737))</f>
        <v/>
      </c>
      <c r="B1737" s="72" t="n"/>
      <c r="C1737" s="46" t="n"/>
      <c r="D1737" s="47" t="n"/>
      <c r="E1737" s="47" t="n"/>
      <c r="F1737" s="47" t="n"/>
      <c r="G1737" s="47" t="n"/>
      <c r="H1737" s="47" t="n"/>
      <c r="I1737" s="47" t="n"/>
      <c r="J1737" s="40" t="n"/>
    </row>
    <row r="1738">
      <c r="A1738" s="16">
        <f>IF($B1738="","",COUNTA($B$4:$B1738))</f>
        <v/>
      </c>
      <c r="B1738" s="71" t="n"/>
      <c r="C1738" s="44" t="n"/>
      <c r="D1738" s="45" t="n"/>
      <c r="E1738" s="45" t="n"/>
      <c r="F1738" s="45" t="n"/>
      <c r="G1738" s="45" t="n"/>
      <c r="H1738" s="45" t="n"/>
      <c r="I1738" s="45" t="n"/>
      <c r="J1738" s="38" t="n"/>
    </row>
    <row r="1739">
      <c r="A1739" s="16">
        <f>IF($B1739="","",COUNTA($B$4:$B1739))</f>
        <v/>
      </c>
      <c r="B1739" s="72" t="n"/>
      <c r="C1739" s="46" t="n"/>
      <c r="D1739" s="47" t="n"/>
      <c r="E1739" s="47" t="n"/>
      <c r="F1739" s="47" t="n"/>
      <c r="G1739" s="47" t="n"/>
      <c r="H1739" s="47" t="n"/>
      <c r="I1739" s="47" t="n"/>
      <c r="J1739" s="40" t="n"/>
    </row>
    <row r="1740">
      <c r="A1740" s="16">
        <f>IF($B1740="","",COUNTA($B$4:$B1740))</f>
        <v/>
      </c>
      <c r="B1740" s="71" t="n"/>
      <c r="C1740" s="44" t="n"/>
      <c r="D1740" s="45" t="n"/>
      <c r="E1740" s="45" t="n"/>
      <c r="F1740" s="45" t="n"/>
      <c r="G1740" s="45" t="n"/>
      <c r="H1740" s="45" t="n"/>
      <c r="I1740" s="45" t="n"/>
      <c r="J1740" s="38" t="n"/>
    </row>
    <row r="1741">
      <c r="A1741" s="16">
        <f>IF($B1741="","",COUNTA($B$4:$B1741))</f>
        <v/>
      </c>
      <c r="B1741" s="72" t="n"/>
      <c r="C1741" s="46" t="n"/>
      <c r="D1741" s="47" t="n"/>
      <c r="E1741" s="47" t="n"/>
      <c r="F1741" s="47" t="n"/>
      <c r="G1741" s="47" t="n"/>
      <c r="H1741" s="47" t="n"/>
      <c r="I1741" s="47" t="n"/>
      <c r="J1741" s="40" t="n"/>
    </row>
    <row r="1742">
      <c r="A1742" s="16">
        <f>IF($B1742="","",COUNTA($B$4:$B1742))</f>
        <v/>
      </c>
      <c r="B1742" s="71" t="n"/>
      <c r="C1742" s="44" t="n"/>
      <c r="D1742" s="45" t="n"/>
      <c r="E1742" s="45" t="n"/>
      <c r="F1742" s="45" t="n"/>
      <c r="G1742" s="45" t="n"/>
      <c r="H1742" s="45" t="n"/>
      <c r="I1742" s="45" t="n"/>
      <c r="J1742" s="38" t="n"/>
    </row>
    <row r="1743">
      <c r="A1743" s="16">
        <f>IF($B1743="","",COUNTA($B$4:$B1743))</f>
        <v/>
      </c>
      <c r="B1743" s="72" t="n"/>
      <c r="C1743" s="46" t="n"/>
      <c r="D1743" s="47" t="n"/>
      <c r="E1743" s="47" t="n"/>
      <c r="F1743" s="47" t="n"/>
      <c r="G1743" s="47" t="n"/>
      <c r="H1743" s="47" t="n"/>
      <c r="I1743" s="47" t="n"/>
      <c r="J1743" s="40" t="n"/>
    </row>
    <row r="1744">
      <c r="A1744" s="16">
        <f>IF($B1744="","",COUNTA($B$4:$B1744))</f>
        <v/>
      </c>
      <c r="B1744" s="71" t="n"/>
      <c r="C1744" s="44" t="n"/>
      <c r="D1744" s="45" t="n"/>
      <c r="E1744" s="45" t="n"/>
      <c r="F1744" s="45" t="n"/>
      <c r="G1744" s="45" t="n"/>
      <c r="H1744" s="45" t="n"/>
      <c r="I1744" s="45" t="n"/>
      <c r="J1744" s="38" t="n"/>
    </row>
    <row r="1745">
      <c r="A1745" s="16">
        <f>IF($B1745="","",COUNTA($B$4:$B1745))</f>
        <v/>
      </c>
      <c r="B1745" s="72" t="n"/>
      <c r="C1745" s="46" t="n"/>
      <c r="D1745" s="47" t="n"/>
      <c r="E1745" s="47" t="n"/>
      <c r="F1745" s="47" t="n"/>
      <c r="G1745" s="47" t="n"/>
      <c r="H1745" s="47" t="n"/>
      <c r="I1745" s="47" t="n"/>
      <c r="J1745" s="40" t="n"/>
    </row>
    <row r="1746">
      <c r="A1746" s="16">
        <f>IF($B1746="","",COUNTA($B$4:$B1746))</f>
        <v/>
      </c>
      <c r="B1746" s="71" t="n"/>
      <c r="C1746" s="44" t="n"/>
      <c r="D1746" s="45" t="n"/>
      <c r="E1746" s="45" t="n"/>
      <c r="F1746" s="45" t="n"/>
      <c r="G1746" s="45" t="n"/>
      <c r="H1746" s="45" t="n"/>
      <c r="I1746" s="45" t="n"/>
      <c r="J1746" s="38" t="n"/>
    </row>
    <row r="1747">
      <c r="A1747" s="16">
        <f>IF($B1747="","",COUNTA($B$4:$B1747))</f>
        <v/>
      </c>
      <c r="B1747" s="72" t="n"/>
      <c r="C1747" s="46" t="n"/>
      <c r="D1747" s="47" t="n"/>
      <c r="E1747" s="47" t="n"/>
      <c r="F1747" s="47" t="n"/>
      <c r="G1747" s="47" t="n"/>
      <c r="H1747" s="47" t="n"/>
      <c r="I1747" s="47" t="n"/>
      <c r="J1747" s="40" t="n"/>
    </row>
    <row r="1748">
      <c r="A1748" s="16">
        <f>IF($B1748="","",COUNTA($B$4:$B1748))</f>
        <v/>
      </c>
      <c r="B1748" s="71" t="n"/>
      <c r="C1748" s="44" t="n"/>
      <c r="D1748" s="45" t="n"/>
      <c r="E1748" s="45" t="n"/>
      <c r="F1748" s="45" t="n"/>
      <c r="G1748" s="45" t="n"/>
      <c r="H1748" s="45" t="n"/>
      <c r="I1748" s="45" t="n"/>
      <c r="J1748" s="38" t="n"/>
    </row>
    <row r="1749">
      <c r="A1749" s="16">
        <f>IF($B1749="","",COUNTA($B$4:$B1749))</f>
        <v/>
      </c>
      <c r="B1749" s="72" t="n"/>
      <c r="C1749" s="46" t="n"/>
      <c r="D1749" s="47" t="n"/>
      <c r="E1749" s="47" t="n"/>
      <c r="F1749" s="47" t="n"/>
      <c r="G1749" s="47" t="n"/>
      <c r="H1749" s="47" t="n"/>
      <c r="I1749" s="47" t="n"/>
      <c r="J1749" s="40" t="n"/>
    </row>
    <row r="1750">
      <c r="A1750" s="16">
        <f>IF($B1750="","",COUNTA($B$4:$B1750))</f>
        <v/>
      </c>
      <c r="B1750" s="71" t="n"/>
      <c r="C1750" s="44" t="n"/>
      <c r="D1750" s="45" t="n"/>
      <c r="E1750" s="45" t="n"/>
      <c r="F1750" s="45" t="n"/>
      <c r="G1750" s="45" t="n"/>
      <c r="H1750" s="45" t="n"/>
      <c r="I1750" s="45" t="n"/>
      <c r="J1750" s="38" t="n"/>
    </row>
    <row r="1751">
      <c r="A1751" s="16">
        <f>IF($B1751="","",COUNTA($B$4:$B1751))</f>
        <v/>
      </c>
      <c r="B1751" s="72" t="n"/>
      <c r="C1751" s="46" t="n"/>
      <c r="D1751" s="47" t="n"/>
      <c r="E1751" s="47" t="n"/>
      <c r="F1751" s="47" t="n"/>
      <c r="G1751" s="47" t="n"/>
      <c r="H1751" s="47" t="n"/>
      <c r="I1751" s="47" t="n"/>
      <c r="J1751" s="40" t="n"/>
    </row>
    <row r="1752">
      <c r="A1752" s="16">
        <f>IF($B1752="","",COUNTA($B$4:$B1752))</f>
        <v/>
      </c>
      <c r="B1752" s="71" t="n"/>
      <c r="C1752" s="44" t="n"/>
      <c r="D1752" s="45" t="n"/>
      <c r="E1752" s="45" t="n"/>
      <c r="F1752" s="45" t="n"/>
      <c r="G1752" s="45" t="n"/>
      <c r="H1752" s="45" t="n"/>
      <c r="I1752" s="45" t="n"/>
      <c r="J1752" s="38" t="n"/>
    </row>
    <row r="1753">
      <c r="A1753" s="16">
        <f>IF($B1753="","",COUNTA($B$4:$B1753))</f>
        <v/>
      </c>
      <c r="B1753" s="72" t="n"/>
      <c r="C1753" s="46" t="n"/>
      <c r="D1753" s="47" t="n"/>
      <c r="E1753" s="47" t="n"/>
      <c r="F1753" s="47" t="n"/>
      <c r="G1753" s="47" t="n"/>
      <c r="H1753" s="47" t="n"/>
      <c r="I1753" s="47" t="n"/>
      <c r="J1753" s="40" t="n"/>
    </row>
    <row r="1754">
      <c r="A1754" s="16">
        <f>IF($B1754="","",COUNTA($B$4:$B1754))</f>
        <v/>
      </c>
      <c r="B1754" s="71" t="n"/>
      <c r="C1754" s="44" t="n"/>
      <c r="D1754" s="45" t="n"/>
      <c r="E1754" s="45" t="n"/>
      <c r="F1754" s="45" t="n"/>
      <c r="G1754" s="45" t="n"/>
      <c r="H1754" s="45" t="n"/>
      <c r="I1754" s="45" t="n"/>
      <c r="J1754" s="38" t="n"/>
    </row>
    <row r="1755">
      <c r="A1755" s="16">
        <f>IF($B1755="","",COUNTA($B$4:$B1755))</f>
        <v/>
      </c>
      <c r="B1755" s="72" t="n"/>
      <c r="C1755" s="46" t="n"/>
      <c r="D1755" s="47" t="n"/>
      <c r="E1755" s="47" t="n"/>
      <c r="F1755" s="47" t="n"/>
      <c r="G1755" s="47" t="n"/>
      <c r="H1755" s="47" t="n"/>
      <c r="I1755" s="47" t="n"/>
      <c r="J1755" s="40" t="n"/>
    </row>
    <row r="1756">
      <c r="A1756" s="16">
        <f>IF($B1756="","",COUNTA($B$4:$B1756))</f>
        <v/>
      </c>
      <c r="B1756" s="71" t="n"/>
      <c r="C1756" s="44" t="n"/>
      <c r="D1756" s="45" t="n"/>
      <c r="E1756" s="45" t="n"/>
      <c r="F1756" s="45" t="n"/>
      <c r="G1756" s="45" t="n"/>
      <c r="H1756" s="45" t="n"/>
      <c r="I1756" s="45" t="n"/>
      <c r="J1756" s="38" t="n"/>
    </row>
    <row r="1757">
      <c r="A1757" s="16">
        <f>IF($B1757="","",COUNTA($B$4:$B1757))</f>
        <v/>
      </c>
      <c r="B1757" s="72" t="n"/>
      <c r="C1757" s="46" t="n"/>
      <c r="D1757" s="47" t="n"/>
      <c r="E1757" s="47" t="n"/>
      <c r="F1757" s="47" t="n"/>
      <c r="G1757" s="47" t="n"/>
      <c r="H1757" s="47" t="n"/>
      <c r="I1757" s="47" t="n"/>
      <c r="J1757" s="40" t="n"/>
    </row>
    <row r="1758">
      <c r="A1758" s="16">
        <f>IF($B1758="","",COUNTA($B$4:$B1758))</f>
        <v/>
      </c>
      <c r="B1758" s="71" t="n"/>
      <c r="C1758" s="44" t="n"/>
      <c r="D1758" s="45" t="n"/>
      <c r="E1758" s="45" t="n"/>
      <c r="F1758" s="45" t="n"/>
      <c r="G1758" s="45" t="n"/>
      <c r="H1758" s="45" t="n"/>
      <c r="I1758" s="45" t="n"/>
      <c r="J1758" s="38" t="n"/>
    </row>
    <row r="1759">
      <c r="A1759" s="16">
        <f>IF($B1759="","",COUNTA($B$4:$B1759))</f>
        <v/>
      </c>
      <c r="B1759" s="72" t="n"/>
      <c r="C1759" s="46" t="n"/>
      <c r="D1759" s="47" t="n"/>
      <c r="E1759" s="47" t="n"/>
      <c r="F1759" s="47" t="n"/>
      <c r="G1759" s="47" t="n"/>
      <c r="H1759" s="47" t="n"/>
      <c r="I1759" s="47" t="n"/>
      <c r="J1759" s="40" t="n"/>
    </row>
    <row r="1760">
      <c r="A1760" s="16">
        <f>IF($B1760="","",COUNTA($B$4:$B1760))</f>
        <v/>
      </c>
      <c r="B1760" s="71" t="n"/>
      <c r="C1760" s="44" t="n"/>
      <c r="D1760" s="45" t="n"/>
      <c r="E1760" s="45" t="n"/>
      <c r="F1760" s="45" t="n"/>
      <c r="G1760" s="45" t="n"/>
      <c r="H1760" s="45" t="n"/>
      <c r="I1760" s="45" t="n"/>
      <c r="J1760" s="38" t="n"/>
    </row>
    <row r="1761">
      <c r="A1761" s="16">
        <f>IF($B1761="","",COUNTA($B$4:$B1761))</f>
        <v/>
      </c>
      <c r="B1761" s="72" t="n"/>
      <c r="C1761" s="46" t="n"/>
      <c r="D1761" s="47" t="n"/>
      <c r="E1761" s="47" t="n"/>
      <c r="F1761" s="47" t="n"/>
      <c r="G1761" s="47" t="n"/>
      <c r="H1761" s="47" t="n"/>
      <c r="I1761" s="47" t="n"/>
      <c r="J1761" s="40" t="n"/>
    </row>
    <row r="1762">
      <c r="A1762" s="16">
        <f>IF($B1762="","",COUNTA($B$4:$B1762))</f>
        <v/>
      </c>
      <c r="B1762" s="71" t="n"/>
      <c r="C1762" s="44" t="n"/>
      <c r="D1762" s="45" t="n"/>
      <c r="E1762" s="45" t="n"/>
      <c r="F1762" s="45" t="n"/>
      <c r="G1762" s="45" t="n"/>
      <c r="H1762" s="45" t="n"/>
      <c r="I1762" s="45" t="n"/>
      <c r="J1762" s="38" t="n"/>
    </row>
    <row r="1763">
      <c r="A1763" s="16">
        <f>IF($B1763="","",COUNTA($B$4:$B1763))</f>
        <v/>
      </c>
      <c r="B1763" s="72" t="n"/>
      <c r="C1763" s="46" t="n"/>
      <c r="D1763" s="47" t="n"/>
      <c r="E1763" s="47" t="n"/>
      <c r="F1763" s="47" t="n"/>
      <c r="G1763" s="47" t="n"/>
      <c r="H1763" s="47" t="n"/>
      <c r="I1763" s="47" t="n"/>
      <c r="J1763" s="40" t="n"/>
    </row>
    <row r="1764">
      <c r="A1764" s="16">
        <f>IF($B1764="","",COUNTA($B$4:$B1764))</f>
        <v/>
      </c>
      <c r="B1764" s="71" t="n"/>
      <c r="C1764" s="44" t="n"/>
      <c r="D1764" s="45" t="n"/>
      <c r="E1764" s="45" t="n"/>
      <c r="F1764" s="45" t="n"/>
      <c r="G1764" s="45" t="n"/>
      <c r="H1764" s="45" t="n"/>
      <c r="I1764" s="45" t="n"/>
      <c r="J1764" s="38" t="n"/>
    </row>
    <row r="1765">
      <c r="A1765" s="16">
        <f>IF($B1765="","",COUNTA($B$4:$B1765))</f>
        <v/>
      </c>
      <c r="B1765" s="72" t="n"/>
      <c r="C1765" s="46" t="n"/>
      <c r="D1765" s="47" t="n"/>
      <c r="E1765" s="47" t="n"/>
      <c r="F1765" s="47" t="n"/>
      <c r="G1765" s="47" t="n"/>
      <c r="H1765" s="47" t="n"/>
      <c r="I1765" s="47" t="n"/>
      <c r="J1765" s="40" t="n"/>
    </row>
    <row r="1766">
      <c r="A1766" s="16">
        <f>IF($B1766="","",COUNTA($B$4:$B1766))</f>
        <v/>
      </c>
      <c r="B1766" s="71" t="n"/>
      <c r="C1766" s="44" t="n"/>
      <c r="D1766" s="45" t="n"/>
      <c r="E1766" s="45" t="n"/>
      <c r="F1766" s="45" t="n"/>
      <c r="G1766" s="45" t="n"/>
      <c r="H1766" s="45" t="n"/>
      <c r="I1766" s="45" t="n"/>
      <c r="J1766" s="38" t="n"/>
    </row>
    <row r="1767">
      <c r="A1767" s="16">
        <f>IF($B1767="","",COUNTA($B$4:$B1767))</f>
        <v/>
      </c>
      <c r="B1767" s="72" t="n"/>
      <c r="C1767" s="46" t="n"/>
      <c r="D1767" s="47" t="n"/>
      <c r="E1767" s="47" t="n"/>
      <c r="F1767" s="47" t="n"/>
      <c r="G1767" s="47" t="n"/>
      <c r="H1767" s="47" t="n"/>
      <c r="I1767" s="47" t="n"/>
      <c r="J1767" s="40" t="n"/>
    </row>
    <row r="1768">
      <c r="A1768" s="16">
        <f>IF($B1768="","",COUNTA($B$4:$B1768))</f>
        <v/>
      </c>
      <c r="B1768" s="71" t="n"/>
      <c r="C1768" s="44" t="n"/>
      <c r="D1768" s="45" t="n"/>
      <c r="E1768" s="45" t="n"/>
      <c r="F1768" s="45" t="n"/>
      <c r="G1768" s="45" t="n"/>
      <c r="H1768" s="45" t="n"/>
      <c r="I1768" s="45" t="n"/>
      <c r="J1768" s="38" t="n"/>
    </row>
    <row r="1769">
      <c r="A1769" s="16">
        <f>IF($B1769="","",COUNTA($B$4:$B1769))</f>
        <v/>
      </c>
      <c r="B1769" s="72" t="n"/>
      <c r="C1769" s="46" t="n"/>
      <c r="D1769" s="47" t="n"/>
      <c r="E1769" s="47" t="n"/>
      <c r="F1769" s="47" t="n"/>
      <c r="G1769" s="47" t="n"/>
      <c r="H1769" s="47" t="n"/>
      <c r="I1769" s="47" t="n"/>
      <c r="J1769" s="40" t="n"/>
    </row>
    <row r="1770">
      <c r="A1770" s="16">
        <f>IF($B1770="","",COUNTA($B$4:$B1770))</f>
        <v/>
      </c>
      <c r="B1770" s="71" t="n"/>
      <c r="C1770" s="44" t="n"/>
      <c r="D1770" s="45" t="n"/>
      <c r="E1770" s="45" t="n"/>
      <c r="F1770" s="45" t="n"/>
      <c r="G1770" s="45" t="n"/>
      <c r="H1770" s="45" t="n"/>
      <c r="I1770" s="45" t="n"/>
      <c r="J1770" s="38" t="n"/>
    </row>
    <row r="1771">
      <c r="A1771" s="16">
        <f>IF($B1771="","",COUNTA($B$4:$B1771))</f>
        <v/>
      </c>
      <c r="B1771" s="72" t="n"/>
      <c r="C1771" s="46" t="n"/>
      <c r="D1771" s="47" t="n"/>
      <c r="E1771" s="47" t="n"/>
      <c r="F1771" s="47" t="n"/>
      <c r="G1771" s="47" t="n"/>
      <c r="H1771" s="47" t="n"/>
      <c r="I1771" s="47" t="n"/>
      <c r="J1771" s="40" t="n"/>
    </row>
    <row r="1772">
      <c r="A1772" s="16">
        <f>IF($B1772="","",COUNTA($B$4:$B1772))</f>
        <v/>
      </c>
      <c r="B1772" s="71" t="n"/>
      <c r="C1772" s="44" t="n"/>
      <c r="D1772" s="45" t="n"/>
      <c r="E1772" s="45" t="n"/>
      <c r="F1772" s="45" t="n"/>
      <c r="G1772" s="45" t="n"/>
      <c r="H1772" s="45" t="n"/>
      <c r="I1772" s="45" t="n"/>
      <c r="J1772" s="38" t="n"/>
    </row>
    <row r="1773">
      <c r="A1773" s="16">
        <f>IF($B1773="","",COUNTA($B$4:$B1773))</f>
        <v/>
      </c>
      <c r="B1773" s="72" t="n"/>
      <c r="C1773" s="46" t="n"/>
      <c r="D1773" s="47" t="n"/>
      <c r="E1773" s="47" t="n"/>
      <c r="F1773" s="47" t="n"/>
      <c r="G1773" s="47" t="n"/>
      <c r="H1773" s="47" t="n"/>
      <c r="I1773" s="47" t="n"/>
      <c r="J1773" s="40" t="n"/>
    </row>
    <row r="1774">
      <c r="A1774" s="16">
        <f>IF($B1774="","",COUNTA($B$4:$B1774))</f>
        <v/>
      </c>
      <c r="B1774" s="71" t="n"/>
      <c r="C1774" s="44" t="n"/>
      <c r="D1774" s="45" t="n"/>
      <c r="E1774" s="45" t="n"/>
      <c r="F1774" s="45" t="n"/>
      <c r="G1774" s="45" t="n"/>
      <c r="H1774" s="45" t="n"/>
      <c r="I1774" s="45" t="n"/>
      <c r="J1774" s="38" t="n"/>
    </row>
    <row r="1775">
      <c r="A1775" s="16">
        <f>IF($B1775="","",COUNTA($B$4:$B1775))</f>
        <v/>
      </c>
      <c r="B1775" s="72" t="n"/>
      <c r="C1775" s="46" t="n"/>
      <c r="D1775" s="47" t="n"/>
      <c r="E1775" s="47" t="n"/>
      <c r="F1775" s="47" t="n"/>
      <c r="G1775" s="47" t="n"/>
      <c r="H1775" s="47" t="n"/>
      <c r="I1775" s="47" t="n"/>
      <c r="J1775" s="40" t="n"/>
    </row>
    <row r="1776">
      <c r="A1776" s="16">
        <f>IF($B1776="","",COUNTA($B$4:$B1776))</f>
        <v/>
      </c>
      <c r="B1776" s="71" t="n"/>
      <c r="C1776" s="44" t="n"/>
      <c r="D1776" s="45" t="n"/>
      <c r="E1776" s="45" t="n"/>
      <c r="F1776" s="45" t="n"/>
      <c r="G1776" s="45" t="n"/>
      <c r="H1776" s="45" t="n"/>
      <c r="I1776" s="45" t="n"/>
      <c r="J1776" s="38" t="n"/>
    </row>
    <row r="1777">
      <c r="A1777" s="16">
        <f>IF($B1777="","",COUNTA($B$4:$B1777))</f>
        <v/>
      </c>
      <c r="B1777" s="72" t="n"/>
      <c r="C1777" s="46" t="n"/>
      <c r="D1777" s="47" t="n"/>
      <c r="E1777" s="47" t="n"/>
      <c r="F1777" s="47" t="n"/>
      <c r="G1777" s="47" t="n"/>
      <c r="H1777" s="47" t="n"/>
      <c r="I1777" s="47" t="n"/>
      <c r="J1777" s="40" t="n"/>
    </row>
    <row r="1778">
      <c r="A1778" s="16">
        <f>IF($B1778="","",COUNTA($B$4:$B1778))</f>
        <v/>
      </c>
      <c r="B1778" s="71" t="n"/>
      <c r="C1778" s="44" t="n"/>
      <c r="D1778" s="45" t="n"/>
      <c r="E1778" s="45" t="n"/>
      <c r="F1778" s="45" t="n"/>
      <c r="G1778" s="45" t="n"/>
      <c r="H1778" s="45" t="n"/>
      <c r="I1778" s="45" t="n"/>
      <c r="J1778" s="38" t="n"/>
    </row>
    <row r="1779">
      <c r="A1779" s="16">
        <f>IF($B1779="","",COUNTA($B$4:$B1779))</f>
        <v/>
      </c>
      <c r="B1779" s="72" t="n"/>
      <c r="C1779" s="46" t="n"/>
      <c r="D1779" s="47" t="n"/>
      <c r="E1779" s="47" t="n"/>
      <c r="F1779" s="47" t="n"/>
      <c r="G1779" s="47" t="n"/>
      <c r="H1779" s="47" t="n"/>
      <c r="I1779" s="47" t="n"/>
      <c r="J1779" s="40" t="n"/>
    </row>
    <row r="1780">
      <c r="A1780" s="16">
        <f>IF($B1780="","",COUNTA($B$4:$B1780))</f>
        <v/>
      </c>
      <c r="B1780" s="71" t="n"/>
      <c r="C1780" s="44" t="n"/>
      <c r="D1780" s="45" t="n"/>
      <c r="E1780" s="45" t="n"/>
      <c r="F1780" s="45" t="n"/>
      <c r="G1780" s="45" t="n"/>
      <c r="H1780" s="45" t="n"/>
      <c r="I1780" s="45" t="n"/>
      <c r="J1780" s="38" t="n"/>
    </row>
    <row r="1781">
      <c r="A1781" s="16">
        <f>IF($B1781="","",COUNTA($B$4:$B1781))</f>
        <v/>
      </c>
      <c r="B1781" s="72" t="n"/>
      <c r="C1781" s="46" t="n"/>
      <c r="D1781" s="47" t="n"/>
      <c r="E1781" s="47" t="n"/>
      <c r="F1781" s="47" t="n"/>
      <c r="G1781" s="47" t="n"/>
      <c r="H1781" s="47" t="n"/>
      <c r="I1781" s="47" t="n"/>
      <c r="J1781" s="40" t="n"/>
    </row>
    <row r="1782">
      <c r="A1782" s="16">
        <f>IF($B1782="","",COUNTA($B$4:$B1782))</f>
        <v/>
      </c>
      <c r="B1782" s="71" t="n"/>
      <c r="C1782" s="44" t="n"/>
      <c r="D1782" s="45" t="n"/>
      <c r="E1782" s="45" t="n"/>
      <c r="F1782" s="45" t="n"/>
      <c r="G1782" s="45" t="n"/>
      <c r="H1782" s="45" t="n"/>
      <c r="I1782" s="45" t="n"/>
      <c r="J1782" s="38" t="n"/>
    </row>
    <row r="1783">
      <c r="A1783" s="16">
        <f>IF($B1783="","",COUNTA($B$4:$B1783))</f>
        <v/>
      </c>
      <c r="B1783" s="72" t="n"/>
      <c r="C1783" s="46" t="n"/>
      <c r="D1783" s="47" t="n"/>
      <c r="E1783" s="47" t="n"/>
      <c r="F1783" s="47" t="n"/>
      <c r="G1783" s="47" t="n"/>
      <c r="H1783" s="47" t="n"/>
      <c r="I1783" s="47" t="n"/>
      <c r="J1783" s="40" t="n"/>
    </row>
    <row r="1784">
      <c r="A1784" s="16">
        <f>IF($B1784="","",COUNTA($B$4:$B1784))</f>
        <v/>
      </c>
      <c r="B1784" s="71" t="n"/>
      <c r="C1784" s="44" t="n"/>
      <c r="D1784" s="45" t="n"/>
      <c r="E1784" s="45" t="n"/>
      <c r="F1784" s="45" t="n"/>
      <c r="G1784" s="45" t="n"/>
      <c r="H1784" s="45" t="n"/>
      <c r="I1784" s="45" t="n"/>
      <c r="J1784" s="38" t="n"/>
    </row>
    <row r="1785">
      <c r="A1785" s="16">
        <f>IF($B1785="","",COUNTA($B$4:$B1785))</f>
        <v/>
      </c>
      <c r="B1785" s="72" t="n"/>
      <c r="C1785" s="46" t="n"/>
      <c r="D1785" s="47" t="n"/>
      <c r="E1785" s="47" t="n"/>
      <c r="F1785" s="47" t="n"/>
      <c r="G1785" s="47" t="n"/>
      <c r="H1785" s="47" t="n"/>
      <c r="I1785" s="47" t="n"/>
      <c r="J1785" s="40" t="n"/>
    </row>
    <row r="1786">
      <c r="A1786" s="16">
        <f>IF($B1786="","",COUNTA($B$4:$B1786))</f>
        <v/>
      </c>
      <c r="B1786" s="71" t="n"/>
      <c r="C1786" s="44" t="n"/>
      <c r="D1786" s="45" t="n"/>
      <c r="E1786" s="45" t="n"/>
      <c r="F1786" s="45" t="n"/>
      <c r="G1786" s="45" t="n"/>
      <c r="H1786" s="45" t="n"/>
      <c r="I1786" s="45" t="n"/>
      <c r="J1786" s="38" t="n"/>
    </row>
    <row r="1787">
      <c r="A1787" s="16">
        <f>IF($B1787="","",COUNTA($B$4:$B1787))</f>
        <v/>
      </c>
      <c r="B1787" s="72" t="n"/>
      <c r="C1787" s="46" t="n"/>
      <c r="D1787" s="47" t="n"/>
      <c r="E1787" s="47" t="n"/>
      <c r="F1787" s="47" t="n"/>
      <c r="G1787" s="47" t="n"/>
      <c r="H1787" s="47" t="n"/>
      <c r="I1787" s="47" t="n"/>
      <c r="J1787" s="40" t="n"/>
    </row>
    <row r="1788">
      <c r="A1788" s="16">
        <f>IF($B1788="","",COUNTA($B$4:$B1788))</f>
        <v/>
      </c>
      <c r="B1788" s="71" t="n"/>
      <c r="C1788" s="44" t="n"/>
      <c r="D1788" s="45" t="n"/>
      <c r="E1788" s="45" t="n"/>
      <c r="F1788" s="45" t="n"/>
      <c r="G1788" s="45" t="n"/>
      <c r="H1788" s="45" t="n"/>
      <c r="I1788" s="45" t="n"/>
      <c r="J1788" s="38" t="n"/>
    </row>
    <row r="1789">
      <c r="A1789" s="16">
        <f>IF($B1789="","",COUNTA($B$4:$B1789))</f>
        <v/>
      </c>
      <c r="B1789" s="72" t="n"/>
      <c r="C1789" s="46" t="n"/>
      <c r="D1789" s="47" t="n"/>
      <c r="E1789" s="47" t="n"/>
      <c r="F1789" s="47" t="n"/>
      <c r="G1789" s="47" t="n"/>
      <c r="H1789" s="47" t="n"/>
      <c r="I1789" s="47" t="n"/>
      <c r="J1789" s="40" t="n"/>
    </row>
    <row r="1790">
      <c r="A1790" s="16">
        <f>IF($B1790="","",COUNTA($B$4:$B1790))</f>
        <v/>
      </c>
      <c r="B1790" s="71" t="n"/>
      <c r="C1790" s="44" t="n"/>
      <c r="D1790" s="45" t="n"/>
      <c r="E1790" s="45" t="n"/>
      <c r="F1790" s="45" t="n"/>
      <c r="G1790" s="45" t="n"/>
      <c r="H1790" s="45" t="n"/>
      <c r="I1790" s="45" t="n"/>
      <c r="J1790" s="38" t="n"/>
    </row>
    <row r="1791">
      <c r="A1791" s="16">
        <f>IF($B1791="","",COUNTA($B$4:$B1791))</f>
        <v/>
      </c>
      <c r="B1791" s="72" t="n"/>
      <c r="C1791" s="46" t="n"/>
      <c r="D1791" s="47" t="n"/>
      <c r="E1791" s="47" t="n"/>
      <c r="F1791" s="47" t="n"/>
      <c r="G1791" s="47" t="n"/>
      <c r="H1791" s="47" t="n"/>
      <c r="I1791" s="47" t="n"/>
      <c r="J1791" s="40" t="n"/>
    </row>
    <row r="1792">
      <c r="A1792" s="16">
        <f>IF($B1792="","",COUNTA($B$4:$B1792))</f>
        <v/>
      </c>
      <c r="B1792" s="71" t="n"/>
      <c r="C1792" s="44" t="n"/>
      <c r="D1792" s="45" t="n"/>
      <c r="E1792" s="45" t="n"/>
      <c r="F1792" s="45" t="n"/>
      <c r="G1792" s="45" t="n"/>
      <c r="H1792" s="45" t="n"/>
      <c r="I1792" s="45" t="n"/>
      <c r="J1792" s="38" t="n"/>
    </row>
    <row r="1793">
      <c r="A1793" s="16">
        <f>IF($B1793="","",COUNTA($B$4:$B1793))</f>
        <v/>
      </c>
      <c r="B1793" s="72" t="n"/>
      <c r="C1793" s="46" t="n"/>
      <c r="D1793" s="47" t="n"/>
      <c r="E1793" s="47" t="n"/>
      <c r="F1793" s="47" t="n"/>
      <c r="G1793" s="47" t="n"/>
      <c r="H1793" s="47" t="n"/>
      <c r="I1793" s="47" t="n"/>
      <c r="J1793" s="40" t="n"/>
    </row>
    <row r="1794">
      <c r="A1794" s="16">
        <f>IF($B1794="","",COUNTA($B$4:$B1794))</f>
        <v/>
      </c>
      <c r="B1794" s="71" t="n"/>
      <c r="C1794" s="44" t="n"/>
      <c r="D1794" s="45" t="n"/>
      <c r="E1794" s="45" t="n"/>
      <c r="F1794" s="45" t="n"/>
      <c r="G1794" s="45" t="n"/>
      <c r="H1794" s="45" t="n"/>
      <c r="I1794" s="45" t="n"/>
      <c r="J1794" s="38" t="n"/>
    </row>
    <row r="1795">
      <c r="A1795" s="16">
        <f>IF($B1795="","",COUNTA($B$4:$B1795))</f>
        <v/>
      </c>
      <c r="B1795" s="72" t="n"/>
      <c r="C1795" s="46" t="n"/>
      <c r="D1795" s="47" t="n"/>
      <c r="E1795" s="47" t="n"/>
      <c r="F1795" s="47" t="n"/>
      <c r="G1795" s="47" t="n"/>
      <c r="H1795" s="47" t="n"/>
      <c r="I1795" s="47" t="n"/>
      <c r="J1795" s="40" t="n"/>
    </row>
    <row r="1796">
      <c r="A1796" s="16">
        <f>IF($B1796="","",COUNTA($B$4:$B1796))</f>
        <v/>
      </c>
      <c r="B1796" s="71" t="n"/>
      <c r="C1796" s="44" t="n"/>
      <c r="D1796" s="45" t="n"/>
      <c r="E1796" s="45" t="n"/>
      <c r="F1796" s="45" t="n"/>
      <c r="G1796" s="45" t="n"/>
      <c r="H1796" s="45" t="n"/>
      <c r="I1796" s="45" t="n"/>
      <c r="J1796" s="38" t="n"/>
    </row>
    <row r="1797">
      <c r="A1797" s="16">
        <f>IF($B1797="","",COUNTA($B$4:$B1797))</f>
        <v/>
      </c>
      <c r="B1797" s="72" t="n"/>
      <c r="C1797" s="46" t="n"/>
      <c r="D1797" s="47" t="n"/>
      <c r="E1797" s="47" t="n"/>
      <c r="F1797" s="47" t="n"/>
      <c r="G1797" s="47" t="n"/>
      <c r="H1797" s="47" t="n"/>
      <c r="I1797" s="47" t="n"/>
      <c r="J1797" s="40" t="n"/>
    </row>
    <row r="1798">
      <c r="A1798" s="16">
        <f>IF($B1798="","",COUNTA($B$4:$B1798))</f>
        <v/>
      </c>
      <c r="B1798" s="71" t="n"/>
      <c r="C1798" s="44" t="n"/>
      <c r="D1798" s="45" t="n"/>
      <c r="E1798" s="45" t="n"/>
      <c r="F1798" s="45" t="n"/>
      <c r="G1798" s="45" t="n"/>
      <c r="H1798" s="45" t="n"/>
      <c r="I1798" s="45" t="n"/>
      <c r="J1798" s="38" t="n"/>
    </row>
    <row r="1799">
      <c r="A1799" s="16">
        <f>IF($B1799="","",COUNTA($B$4:$B1799))</f>
        <v/>
      </c>
      <c r="B1799" s="72" t="n"/>
      <c r="C1799" s="46" t="n"/>
      <c r="D1799" s="47" t="n"/>
      <c r="E1799" s="47" t="n"/>
      <c r="F1799" s="47" t="n"/>
      <c r="G1799" s="47" t="n"/>
      <c r="H1799" s="47" t="n"/>
      <c r="I1799" s="47" t="n"/>
      <c r="J1799" s="40" t="n"/>
    </row>
    <row r="1800">
      <c r="A1800" s="16">
        <f>IF($B1800="","",COUNTA($B$4:$B1800))</f>
        <v/>
      </c>
      <c r="B1800" s="71" t="n"/>
      <c r="C1800" s="44" t="n"/>
      <c r="D1800" s="45" t="n"/>
      <c r="E1800" s="45" t="n"/>
      <c r="F1800" s="45" t="n"/>
      <c r="G1800" s="45" t="n"/>
      <c r="H1800" s="45" t="n"/>
      <c r="I1800" s="45" t="n"/>
      <c r="J1800" s="38" t="n"/>
    </row>
    <row r="1801">
      <c r="A1801" s="16">
        <f>IF($B1801="","",COUNTA($B$4:$B1801))</f>
        <v/>
      </c>
      <c r="B1801" s="72" t="n"/>
      <c r="C1801" s="46" t="n"/>
      <c r="D1801" s="47" t="n"/>
      <c r="E1801" s="47" t="n"/>
      <c r="F1801" s="47" t="n"/>
      <c r="G1801" s="47" t="n"/>
      <c r="H1801" s="47" t="n"/>
      <c r="I1801" s="47" t="n"/>
      <c r="J1801" s="40" t="n"/>
    </row>
    <row r="1802">
      <c r="A1802" s="16">
        <f>IF($B1802="","",COUNTA($B$4:$B1802))</f>
        <v/>
      </c>
      <c r="B1802" s="71" t="n"/>
      <c r="C1802" s="44" t="n"/>
      <c r="D1802" s="45" t="n"/>
      <c r="E1802" s="45" t="n"/>
      <c r="F1802" s="45" t="n"/>
      <c r="G1802" s="45" t="n"/>
      <c r="H1802" s="45" t="n"/>
      <c r="I1802" s="45" t="n"/>
      <c r="J1802" s="38" t="n"/>
    </row>
    <row r="1803">
      <c r="A1803" s="16">
        <f>IF($B1803="","",COUNTA($B$4:$B1803))</f>
        <v/>
      </c>
      <c r="B1803" s="72" t="n"/>
      <c r="C1803" s="46" t="n"/>
      <c r="D1803" s="47" t="n"/>
      <c r="E1803" s="47" t="n"/>
      <c r="F1803" s="47" t="n"/>
      <c r="G1803" s="47" t="n"/>
      <c r="H1803" s="47" t="n"/>
      <c r="I1803" s="47" t="n"/>
      <c r="J1803" s="40" t="n"/>
    </row>
    <row r="1804">
      <c r="A1804" s="16">
        <f>IF($B1804="","",COUNTA($B$4:$B1804))</f>
        <v/>
      </c>
      <c r="B1804" s="71" t="n"/>
      <c r="C1804" s="44" t="n"/>
      <c r="D1804" s="45" t="n"/>
      <c r="E1804" s="45" t="n"/>
      <c r="F1804" s="45" t="n"/>
      <c r="G1804" s="45" t="n"/>
      <c r="H1804" s="45" t="n"/>
      <c r="I1804" s="45" t="n"/>
      <c r="J1804" s="38" t="n"/>
    </row>
    <row r="1805">
      <c r="A1805" s="16">
        <f>IF($B1805="","",COUNTA($B$4:$B1805))</f>
        <v/>
      </c>
      <c r="B1805" s="72" t="n"/>
      <c r="C1805" s="46" t="n"/>
      <c r="D1805" s="47" t="n"/>
      <c r="E1805" s="47" t="n"/>
      <c r="F1805" s="47" t="n"/>
      <c r="G1805" s="47" t="n"/>
      <c r="H1805" s="47" t="n"/>
      <c r="I1805" s="47" t="n"/>
      <c r="J1805" s="40" t="n"/>
    </row>
    <row r="1806">
      <c r="A1806" s="16">
        <f>IF($B1806="","",COUNTA($B$4:$B1806))</f>
        <v/>
      </c>
      <c r="B1806" s="71" t="n"/>
      <c r="C1806" s="44" t="n"/>
      <c r="D1806" s="45" t="n"/>
      <c r="E1806" s="45" t="n"/>
      <c r="F1806" s="45" t="n"/>
      <c r="G1806" s="45" t="n"/>
      <c r="H1806" s="45" t="n"/>
      <c r="I1806" s="45" t="n"/>
      <c r="J1806" s="38" t="n"/>
    </row>
    <row r="1807">
      <c r="A1807" s="16">
        <f>IF($B1807="","",COUNTA($B$4:$B1807))</f>
        <v/>
      </c>
      <c r="B1807" s="72" t="n"/>
      <c r="C1807" s="46" t="n"/>
      <c r="D1807" s="47" t="n"/>
      <c r="E1807" s="47" t="n"/>
      <c r="F1807" s="47" t="n"/>
      <c r="G1807" s="47" t="n"/>
      <c r="H1807" s="47" t="n"/>
      <c r="I1807" s="47" t="n"/>
      <c r="J1807" s="40" t="n"/>
    </row>
    <row r="1808">
      <c r="A1808" s="16">
        <f>IF($B1808="","",COUNTA($B$4:$B1808))</f>
        <v/>
      </c>
      <c r="B1808" s="71" t="n"/>
      <c r="C1808" s="44" t="n"/>
      <c r="D1808" s="45" t="n"/>
      <c r="E1808" s="45" t="n"/>
      <c r="F1808" s="45" t="n"/>
      <c r="G1808" s="45" t="n"/>
      <c r="H1808" s="45" t="n"/>
      <c r="I1808" s="45" t="n"/>
      <c r="J1808" s="38" t="n"/>
    </row>
    <row r="1809">
      <c r="A1809" s="16">
        <f>IF($B1809="","",COUNTA($B$4:$B1809))</f>
        <v/>
      </c>
      <c r="B1809" s="72" t="n"/>
      <c r="C1809" s="46" t="n"/>
      <c r="D1809" s="47" t="n"/>
      <c r="E1809" s="47" t="n"/>
      <c r="F1809" s="47" t="n"/>
      <c r="G1809" s="47" t="n"/>
      <c r="H1809" s="47" t="n"/>
      <c r="I1809" s="47" t="n"/>
      <c r="J1809" s="40" t="n"/>
    </row>
    <row r="1810">
      <c r="A1810" s="16">
        <f>IF($B1810="","",COUNTA($B$4:$B1810))</f>
        <v/>
      </c>
      <c r="B1810" s="71" t="n"/>
      <c r="C1810" s="44" t="n"/>
      <c r="D1810" s="45" t="n"/>
      <c r="E1810" s="45" t="n"/>
      <c r="F1810" s="45" t="n"/>
      <c r="G1810" s="45" t="n"/>
      <c r="H1810" s="45" t="n"/>
      <c r="I1810" s="45" t="n"/>
      <c r="J1810" s="38" t="n"/>
    </row>
    <row r="1811">
      <c r="A1811" s="16">
        <f>IF($B1811="","",COUNTA($B$4:$B1811))</f>
        <v/>
      </c>
      <c r="B1811" s="72" t="n"/>
      <c r="C1811" s="46" t="n"/>
      <c r="D1811" s="47" t="n"/>
      <c r="E1811" s="47" t="n"/>
      <c r="F1811" s="47" t="n"/>
      <c r="G1811" s="47" t="n"/>
      <c r="H1811" s="47" t="n"/>
      <c r="I1811" s="47" t="n"/>
      <c r="J1811" s="40" t="n"/>
    </row>
    <row r="1812">
      <c r="A1812" s="16">
        <f>IF($B1812="","",COUNTA($B$4:$B1812))</f>
        <v/>
      </c>
      <c r="B1812" s="71" t="n"/>
      <c r="C1812" s="44" t="n"/>
      <c r="D1812" s="45" t="n"/>
      <c r="E1812" s="45" t="n"/>
      <c r="F1812" s="45" t="n"/>
      <c r="G1812" s="45" t="n"/>
      <c r="H1812" s="45" t="n"/>
      <c r="I1812" s="45" t="n"/>
      <c r="J1812" s="38" t="n"/>
    </row>
    <row r="1813">
      <c r="A1813" s="16">
        <f>IF($B1813="","",COUNTA($B$4:$B1813))</f>
        <v/>
      </c>
      <c r="B1813" s="72" t="n"/>
      <c r="C1813" s="46" t="n"/>
      <c r="D1813" s="47" t="n"/>
      <c r="E1813" s="47" t="n"/>
      <c r="F1813" s="47" t="n"/>
      <c r="G1813" s="47" t="n"/>
      <c r="H1813" s="47" t="n"/>
      <c r="I1813" s="47" t="n"/>
      <c r="J1813" s="40" t="n"/>
    </row>
    <row r="1814">
      <c r="A1814" s="16">
        <f>IF($B1814="","",COUNTA($B$4:$B1814))</f>
        <v/>
      </c>
      <c r="B1814" s="71" t="n"/>
      <c r="C1814" s="44" t="n"/>
      <c r="D1814" s="45" t="n"/>
      <c r="E1814" s="45" t="n"/>
      <c r="F1814" s="45" t="n"/>
      <c r="G1814" s="45" t="n"/>
      <c r="H1814" s="45" t="n"/>
      <c r="I1814" s="45" t="n"/>
      <c r="J1814" s="38" t="n"/>
    </row>
    <row r="1815">
      <c r="A1815" s="16">
        <f>IF($B1815="","",COUNTA($B$4:$B1815))</f>
        <v/>
      </c>
      <c r="B1815" s="72" t="n"/>
      <c r="C1815" s="46" t="n"/>
      <c r="D1815" s="47" t="n"/>
      <c r="E1815" s="47" t="n"/>
      <c r="F1815" s="47" t="n"/>
      <c r="G1815" s="47" t="n"/>
      <c r="H1815" s="47" t="n"/>
      <c r="I1815" s="47" t="n"/>
      <c r="J1815" s="40" t="n"/>
    </row>
    <row r="1816">
      <c r="A1816" s="16">
        <f>IF($B1816="","",COUNTA($B$4:$B1816))</f>
        <v/>
      </c>
      <c r="B1816" s="71" t="n"/>
      <c r="C1816" s="44" t="n"/>
      <c r="D1816" s="45" t="n"/>
      <c r="E1816" s="45" t="n"/>
      <c r="F1816" s="45" t="n"/>
      <c r="G1816" s="45" t="n"/>
      <c r="H1816" s="45" t="n"/>
      <c r="I1816" s="45" t="n"/>
      <c r="J1816" s="38" t="n"/>
    </row>
    <row r="1817">
      <c r="A1817" s="16">
        <f>IF($B1817="","",COUNTA($B$4:$B1817))</f>
        <v/>
      </c>
      <c r="B1817" s="72" t="n"/>
      <c r="C1817" s="46" t="n"/>
      <c r="D1817" s="47" t="n"/>
      <c r="E1817" s="47" t="n"/>
      <c r="F1817" s="47" t="n"/>
      <c r="G1817" s="47" t="n"/>
      <c r="H1817" s="47" t="n"/>
      <c r="I1817" s="47" t="n"/>
      <c r="J1817" s="40" t="n"/>
    </row>
    <row r="1818">
      <c r="A1818" s="16">
        <f>IF($B1818="","",COUNTA($B$4:$B1818))</f>
        <v/>
      </c>
      <c r="B1818" s="71" t="n"/>
      <c r="C1818" s="44" t="n"/>
      <c r="D1818" s="45" t="n"/>
      <c r="E1818" s="45" t="n"/>
      <c r="F1818" s="45" t="n"/>
      <c r="G1818" s="45" t="n"/>
      <c r="H1818" s="45" t="n"/>
      <c r="I1818" s="45" t="n"/>
      <c r="J1818" s="38" t="n"/>
    </row>
    <row r="1819">
      <c r="A1819" s="16">
        <f>IF($B1819="","",COUNTA($B$4:$B1819))</f>
        <v/>
      </c>
      <c r="B1819" s="72" t="n"/>
      <c r="C1819" s="46" t="n"/>
      <c r="D1819" s="47" t="n"/>
      <c r="E1819" s="47" t="n"/>
      <c r="F1819" s="47" t="n"/>
      <c r="G1819" s="47" t="n"/>
      <c r="H1819" s="47" t="n"/>
      <c r="I1819" s="47" t="n"/>
      <c r="J1819" s="40" t="n"/>
    </row>
    <row r="1820">
      <c r="A1820" s="16">
        <f>IF($B1820="","",COUNTA($B$4:$B1820))</f>
        <v/>
      </c>
      <c r="B1820" s="71" t="n"/>
      <c r="C1820" s="44" t="n"/>
      <c r="D1820" s="45" t="n"/>
      <c r="E1820" s="45" t="n"/>
      <c r="F1820" s="45" t="n"/>
      <c r="G1820" s="45" t="n"/>
      <c r="H1820" s="45" t="n"/>
      <c r="I1820" s="45" t="n"/>
      <c r="J1820" s="38" t="n"/>
    </row>
    <row r="1821">
      <c r="A1821" s="16">
        <f>IF($B1821="","",COUNTA($B$4:$B1821))</f>
        <v/>
      </c>
      <c r="B1821" s="72" t="n"/>
      <c r="C1821" s="46" t="n"/>
      <c r="D1821" s="47" t="n"/>
      <c r="E1821" s="47" t="n"/>
      <c r="F1821" s="47" t="n"/>
      <c r="G1821" s="47" t="n"/>
      <c r="H1821" s="47" t="n"/>
      <c r="I1821" s="47" t="n"/>
      <c r="J1821" s="40" t="n"/>
    </row>
    <row r="1822">
      <c r="A1822" s="16">
        <f>IF($B1822="","",COUNTA($B$4:$B1822))</f>
        <v/>
      </c>
      <c r="B1822" s="71" t="n"/>
      <c r="C1822" s="44" t="n"/>
      <c r="D1822" s="45" t="n"/>
      <c r="E1822" s="45" t="n"/>
      <c r="F1822" s="45" t="n"/>
      <c r="G1822" s="45" t="n"/>
      <c r="H1822" s="45" t="n"/>
      <c r="I1822" s="45" t="n"/>
      <c r="J1822" s="38" t="n"/>
    </row>
    <row r="1823">
      <c r="A1823" s="16">
        <f>IF($B1823="","",COUNTA($B$4:$B1823))</f>
        <v/>
      </c>
      <c r="B1823" s="72" t="n"/>
      <c r="C1823" s="46" t="n"/>
      <c r="D1823" s="47" t="n"/>
      <c r="E1823" s="47" t="n"/>
      <c r="F1823" s="47" t="n"/>
      <c r="G1823" s="47" t="n"/>
      <c r="H1823" s="47" t="n"/>
      <c r="I1823" s="47" t="n"/>
      <c r="J1823" s="40" t="n"/>
    </row>
    <row r="1824">
      <c r="A1824" s="16">
        <f>IF($B1824="","",COUNTA($B$4:$B1824))</f>
        <v/>
      </c>
      <c r="B1824" s="71" t="n"/>
      <c r="C1824" s="44" t="n"/>
      <c r="D1824" s="45" t="n"/>
      <c r="E1824" s="45" t="n"/>
      <c r="F1824" s="45" t="n"/>
      <c r="G1824" s="45" t="n"/>
      <c r="H1824" s="45" t="n"/>
      <c r="I1824" s="45" t="n"/>
      <c r="J1824" s="38" t="n"/>
    </row>
    <row r="1825">
      <c r="A1825" s="16">
        <f>IF($B1825="","",COUNTA($B$4:$B1825))</f>
        <v/>
      </c>
      <c r="B1825" s="72" t="n"/>
      <c r="C1825" s="46" t="n"/>
      <c r="D1825" s="47" t="n"/>
      <c r="E1825" s="47" t="n"/>
      <c r="F1825" s="47" t="n"/>
      <c r="G1825" s="47" t="n"/>
      <c r="H1825" s="47" t="n"/>
      <c r="I1825" s="47" t="n"/>
      <c r="J1825" s="40" t="n"/>
    </row>
    <row r="1826">
      <c r="A1826" s="16">
        <f>IF($B1826="","",COUNTA($B$4:$B1826))</f>
        <v/>
      </c>
      <c r="B1826" s="71" t="n"/>
      <c r="C1826" s="44" t="n"/>
      <c r="D1826" s="45" t="n"/>
      <c r="E1826" s="45" t="n"/>
      <c r="F1826" s="45" t="n"/>
      <c r="G1826" s="45" t="n"/>
      <c r="H1826" s="45" t="n"/>
      <c r="I1826" s="45" t="n"/>
      <c r="J1826" s="38" t="n"/>
    </row>
    <row r="1827">
      <c r="A1827" s="16">
        <f>IF($B1827="","",COUNTA($B$4:$B1827))</f>
        <v/>
      </c>
      <c r="B1827" s="72" t="n"/>
      <c r="C1827" s="46" t="n"/>
      <c r="D1827" s="47" t="n"/>
      <c r="E1827" s="47" t="n"/>
      <c r="F1827" s="47" t="n"/>
      <c r="G1827" s="47" t="n"/>
      <c r="H1827" s="47" t="n"/>
      <c r="I1827" s="47" t="n"/>
      <c r="J1827" s="40" t="n"/>
    </row>
    <row r="1828">
      <c r="A1828" s="16">
        <f>IF($B1828="","",COUNTA($B$4:$B1828))</f>
        <v/>
      </c>
      <c r="B1828" s="71" t="n"/>
      <c r="C1828" s="44" t="n"/>
      <c r="D1828" s="45" t="n"/>
      <c r="E1828" s="45" t="n"/>
      <c r="F1828" s="45" t="n"/>
      <c r="G1828" s="45" t="n"/>
      <c r="H1828" s="45" t="n"/>
      <c r="I1828" s="45" t="n"/>
      <c r="J1828" s="38" t="n"/>
    </row>
    <row r="1829">
      <c r="A1829" s="16">
        <f>IF($B1829="","",COUNTA($B$4:$B1829))</f>
        <v/>
      </c>
      <c r="B1829" s="72" t="n"/>
      <c r="C1829" s="46" t="n"/>
      <c r="D1829" s="47" t="n"/>
      <c r="E1829" s="47" t="n"/>
      <c r="F1829" s="47" t="n"/>
      <c r="G1829" s="47" t="n"/>
      <c r="H1829" s="47" t="n"/>
      <c r="I1829" s="47" t="n"/>
      <c r="J1829" s="40" t="n"/>
    </row>
    <row r="1830">
      <c r="A1830" s="16">
        <f>IF($B1830="","",COUNTA($B$4:$B1830))</f>
        <v/>
      </c>
      <c r="B1830" s="71" t="n"/>
      <c r="C1830" s="44" t="n"/>
      <c r="D1830" s="45" t="n"/>
      <c r="E1830" s="45" t="n"/>
      <c r="F1830" s="45" t="n"/>
      <c r="G1830" s="45" t="n"/>
      <c r="H1830" s="45" t="n"/>
      <c r="I1830" s="45" t="n"/>
      <c r="J1830" s="38" t="n"/>
    </row>
    <row r="1831">
      <c r="A1831" s="16">
        <f>IF($B1831="","",COUNTA($B$4:$B1831))</f>
        <v/>
      </c>
      <c r="B1831" s="72" t="n"/>
      <c r="C1831" s="46" t="n"/>
      <c r="D1831" s="47" t="n"/>
      <c r="E1831" s="47" t="n"/>
      <c r="F1831" s="47" t="n"/>
      <c r="G1831" s="47" t="n"/>
      <c r="H1831" s="47" t="n"/>
      <c r="I1831" s="47" t="n"/>
      <c r="J1831" s="40" t="n"/>
    </row>
    <row r="1832">
      <c r="A1832" s="16">
        <f>IF($B1832="","",COUNTA($B$4:$B1832))</f>
        <v/>
      </c>
      <c r="B1832" s="71" t="n"/>
      <c r="C1832" s="44" t="n"/>
      <c r="D1832" s="45" t="n"/>
      <c r="E1832" s="45" t="n"/>
      <c r="F1832" s="45" t="n"/>
      <c r="G1832" s="45" t="n"/>
      <c r="H1832" s="45" t="n"/>
      <c r="I1832" s="45" t="n"/>
      <c r="J1832" s="38" t="n"/>
    </row>
    <row r="1833">
      <c r="A1833" s="16">
        <f>IF($B1833="","",COUNTA($B$4:$B1833))</f>
        <v/>
      </c>
      <c r="B1833" s="72" t="n"/>
      <c r="C1833" s="46" t="n"/>
      <c r="D1833" s="47" t="n"/>
      <c r="E1833" s="47" t="n"/>
      <c r="F1833" s="47" t="n"/>
      <c r="G1833" s="47" t="n"/>
      <c r="H1833" s="47" t="n"/>
      <c r="I1833" s="47" t="n"/>
      <c r="J1833" s="40" t="n"/>
    </row>
    <row r="1834">
      <c r="A1834" s="16">
        <f>IF($B1834="","",COUNTA($B$4:$B1834))</f>
        <v/>
      </c>
      <c r="B1834" s="71" t="n"/>
      <c r="C1834" s="44" t="n"/>
      <c r="D1834" s="45" t="n"/>
      <c r="E1834" s="45" t="n"/>
      <c r="F1834" s="45" t="n"/>
      <c r="G1834" s="45" t="n"/>
      <c r="H1834" s="45" t="n"/>
      <c r="I1834" s="45" t="n"/>
      <c r="J1834" s="38" t="n"/>
    </row>
    <row r="1835">
      <c r="A1835" s="16">
        <f>IF($B1835="","",COUNTA($B$4:$B1835))</f>
        <v/>
      </c>
      <c r="B1835" s="72" t="n"/>
      <c r="C1835" s="46" t="n"/>
      <c r="D1835" s="47" t="n"/>
      <c r="E1835" s="47" t="n"/>
      <c r="F1835" s="47" t="n"/>
      <c r="G1835" s="47" t="n"/>
      <c r="H1835" s="47" t="n"/>
      <c r="I1835" s="47" t="n"/>
      <c r="J1835" s="40" t="n"/>
    </row>
    <row r="1836">
      <c r="A1836" s="16">
        <f>IF($B1836="","",COUNTA($B$4:$B1836))</f>
        <v/>
      </c>
      <c r="B1836" s="71" t="n"/>
      <c r="C1836" s="44" t="n"/>
      <c r="D1836" s="45" t="n"/>
      <c r="E1836" s="45" t="n"/>
      <c r="F1836" s="45" t="n"/>
      <c r="G1836" s="45" t="n"/>
      <c r="H1836" s="45" t="n"/>
      <c r="I1836" s="45" t="n"/>
      <c r="J1836" s="38" t="n"/>
    </row>
    <row r="1837">
      <c r="A1837" s="16">
        <f>IF($B1837="","",COUNTA($B$4:$B1837))</f>
        <v/>
      </c>
      <c r="B1837" s="72" t="n"/>
      <c r="C1837" s="46" t="n"/>
      <c r="D1837" s="47" t="n"/>
      <c r="E1837" s="47" t="n"/>
      <c r="F1837" s="47" t="n"/>
      <c r="G1837" s="47" t="n"/>
      <c r="H1837" s="47" t="n"/>
      <c r="I1837" s="47" t="n"/>
      <c r="J1837" s="40" t="n"/>
    </row>
    <row r="1838">
      <c r="A1838" s="16">
        <f>IF($B1838="","",COUNTA($B$4:$B1838))</f>
        <v/>
      </c>
      <c r="B1838" s="71" t="n"/>
      <c r="C1838" s="44" t="n"/>
      <c r="D1838" s="45" t="n"/>
      <c r="E1838" s="45" t="n"/>
      <c r="F1838" s="45" t="n"/>
      <c r="G1838" s="45" t="n"/>
      <c r="H1838" s="45" t="n"/>
      <c r="I1838" s="45" t="n"/>
      <c r="J1838" s="38" t="n"/>
    </row>
    <row r="1839">
      <c r="A1839" s="16">
        <f>IF($B1839="","",COUNTA($B$4:$B1839))</f>
        <v/>
      </c>
      <c r="B1839" s="72" t="n"/>
      <c r="C1839" s="46" t="n"/>
      <c r="D1839" s="47" t="n"/>
      <c r="E1839" s="47" t="n"/>
      <c r="F1839" s="47" t="n"/>
      <c r="G1839" s="47" t="n"/>
      <c r="H1839" s="47" t="n"/>
      <c r="I1839" s="47" t="n"/>
      <c r="J1839" s="40" t="n"/>
    </row>
    <row r="1840">
      <c r="A1840" s="16">
        <f>IF($B1840="","",COUNTA($B$4:$B1840))</f>
        <v/>
      </c>
      <c r="B1840" s="71" t="n"/>
      <c r="C1840" s="44" t="n"/>
      <c r="D1840" s="45" t="n"/>
      <c r="E1840" s="45" t="n"/>
      <c r="F1840" s="45" t="n"/>
      <c r="G1840" s="45" t="n"/>
      <c r="H1840" s="45" t="n"/>
      <c r="I1840" s="45" t="n"/>
      <c r="J1840" s="38" t="n"/>
    </row>
    <row r="1841">
      <c r="A1841" s="16">
        <f>IF($B1841="","",COUNTA($B$4:$B1841))</f>
        <v/>
      </c>
      <c r="B1841" s="72" t="n"/>
      <c r="C1841" s="46" t="n"/>
      <c r="D1841" s="47" t="n"/>
      <c r="E1841" s="47" t="n"/>
      <c r="F1841" s="47" t="n"/>
      <c r="G1841" s="47" t="n"/>
      <c r="H1841" s="47" t="n"/>
      <c r="I1841" s="47" t="n"/>
      <c r="J1841" s="40" t="n"/>
    </row>
    <row r="1842">
      <c r="A1842" s="16">
        <f>IF($B1842="","",COUNTA($B$4:$B1842))</f>
        <v/>
      </c>
      <c r="B1842" s="71" t="n"/>
      <c r="C1842" s="44" t="n"/>
      <c r="D1842" s="45" t="n"/>
      <c r="E1842" s="45" t="n"/>
      <c r="F1842" s="45" t="n"/>
      <c r="G1842" s="45" t="n"/>
      <c r="H1842" s="45" t="n"/>
      <c r="I1842" s="45" t="n"/>
      <c r="J1842" s="38" t="n"/>
    </row>
    <row r="1843">
      <c r="A1843" s="16">
        <f>IF($B1843="","",COUNTA($B$4:$B1843))</f>
        <v/>
      </c>
      <c r="B1843" s="72" t="n"/>
      <c r="C1843" s="46" t="n"/>
      <c r="D1843" s="47" t="n"/>
      <c r="E1843" s="47" t="n"/>
      <c r="F1843" s="47" t="n"/>
      <c r="G1843" s="47" t="n"/>
      <c r="H1843" s="47" t="n"/>
      <c r="I1843" s="47" t="n"/>
      <c r="J1843" s="40" t="n"/>
    </row>
    <row r="1844">
      <c r="A1844" s="16">
        <f>IF($B1844="","",COUNTA($B$4:$B1844))</f>
        <v/>
      </c>
      <c r="B1844" s="71" t="n"/>
      <c r="C1844" s="44" t="n"/>
      <c r="D1844" s="45" t="n"/>
      <c r="E1844" s="45" t="n"/>
      <c r="F1844" s="45" t="n"/>
      <c r="G1844" s="45" t="n"/>
      <c r="H1844" s="45" t="n"/>
      <c r="I1844" s="45" t="n"/>
      <c r="J1844" s="38" t="n"/>
    </row>
    <row r="1845">
      <c r="A1845" s="16">
        <f>IF($B1845="","",COUNTA($B$4:$B1845))</f>
        <v/>
      </c>
      <c r="B1845" s="72" t="n"/>
      <c r="C1845" s="46" t="n"/>
      <c r="D1845" s="47" t="n"/>
      <c r="E1845" s="47" t="n"/>
      <c r="F1845" s="47" t="n"/>
      <c r="G1845" s="47" t="n"/>
      <c r="H1845" s="47" t="n"/>
      <c r="I1845" s="47" t="n"/>
      <c r="J1845" s="40" t="n"/>
    </row>
    <row r="1846">
      <c r="A1846" s="16">
        <f>IF($B1846="","",COUNTA($B$4:$B1846))</f>
        <v/>
      </c>
      <c r="B1846" s="71" t="n"/>
      <c r="C1846" s="44" t="n"/>
      <c r="D1846" s="45" t="n"/>
      <c r="E1846" s="45" t="n"/>
      <c r="F1846" s="45" t="n"/>
      <c r="G1846" s="45" t="n"/>
      <c r="H1846" s="45" t="n"/>
      <c r="I1846" s="45" t="n"/>
      <c r="J1846" s="38" t="n"/>
    </row>
    <row r="1847">
      <c r="A1847" s="16">
        <f>IF($B1847="","",COUNTA($B$4:$B1847))</f>
        <v/>
      </c>
      <c r="B1847" s="72" t="n"/>
      <c r="C1847" s="46" t="n"/>
      <c r="D1847" s="47" t="n"/>
      <c r="E1847" s="47" t="n"/>
      <c r="F1847" s="47" t="n"/>
      <c r="G1847" s="47" t="n"/>
      <c r="H1847" s="47" t="n"/>
      <c r="I1847" s="47" t="n"/>
      <c r="J1847" s="40" t="n"/>
    </row>
    <row r="1848">
      <c r="A1848" s="16">
        <f>IF($B1848="","",COUNTA($B$4:$B1848))</f>
        <v/>
      </c>
      <c r="B1848" s="71" t="n"/>
      <c r="C1848" s="44" t="n"/>
      <c r="D1848" s="45" t="n"/>
      <c r="E1848" s="45" t="n"/>
      <c r="F1848" s="45" t="n"/>
      <c r="G1848" s="45" t="n"/>
      <c r="H1848" s="45" t="n"/>
      <c r="I1848" s="45" t="n"/>
      <c r="J1848" s="38" t="n"/>
    </row>
    <row r="1849">
      <c r="A1849" s="16">
        <f>IF($B1849="","",COUNTA($B$4:$B1849))</f>
        <v/>
      </c>
      <c r="B1849" s="72" t="n"/>
      <c r="C1849" s="46" t="n"/>
      <c r="D1849" s="47" t="n"/>
      <c r="E1849" s="47" t="n"/>
      <c r="F1849" s="47" t="n"/>
      <c r="G1849" s="47" t="n"/>
      <c r="H1849" s="47" t="n"/>
      <c r="I1849" s="47" t="n"/>
      <c r="J1849" s="40" t="n"/>
    </row>
    <row r="1850">
      <c r="A1850" s="16">
        <f>IF($B1850="","",COUNTA($B$4:$B1850))</f>
        <v/>
      </c>
      <c r="B1850" s="71" t="n"/>
      <c r="C1850" s="44" t="n"/>
      <c r="D1850" s="45" t="n"/>
      <c r="E1850" s="45" t="n"/>
      <c r="F1850" s="45" t="n"/>
      <c r="G1850" s="45" t="n"/>
      <c r="H1850" s="45" t="n"/>
      <c r="I1850" s="45" t="n"/>
      <c r="J1850" s="38" t="n"/>
    </row>
    <row r="1851">
      <c r="A1851" s="16">
        <f>IF($B1851="","",COUNTA($B$4:$B1851))</f>
        <v/>
      </c>
      <c r="B1851" s="72" t="n"/>
      <c r="C1851" s="46" t="n"/>
      <c r="D1851" s="47" t="n"/>
      <c r="E1851" s="47" t="n"/>
      <c r="F1851" s="47" t="n"/>
      <c r="G1851" s="47" t="n"/>
      <c r="H1851" s="47" t="n"/>
      <c r="I1851" s="47" t="n"/>
      <c r="J1851" s="40" t="n"/>
    </row>
    <row r="1852">
      <c r="A1852" s="16">
        <f>IF($B1852="","",COUNTA($B$4:$B1852))</f>
        <v/>
      </c>
      <c r="B1852" s="71" t="n"/>
      <c r="C1852" s="44" t="n"/>
      <c r="D1852" s="45" t="n"/>
      <c r="E1852" s="45" t="n"/>
      <c r="F1852" s="45" t="n"/>
      <c r="G1852" s="45" t="n"/>
      <c r="H1852" s="45" t="n"/>
      <c r="I1852" s="45" t="n"/>
      <c r="J1852" s="38" t="n"/>
    </row>
    <row r="1853">
      <c r="A1853" s="16">
        <f>IF($B1853="","",COUNTA($B$4:$B1853))</f>
        <v/>
      </c>
      <c r="B1853" s="72" t="n"/>
      <c r="C1853" s="46" t="n"/>
      <c r="D1853" s="47" t="n"/>
      <c r="E1853" s="47" t="n"/>
      <c r="F1853" s="47" t="n"/>
      <c r="G1853" s="47" t="n"/>
      <c r="H1853" s="47" t="n"/>
      <c r="I1853" s="47" t="n"/>
      <c r="J1853" s="40" t="n"/>
    </row>
    <row r="1854">
      <c r="A1854" s="16">
        <f>IF($B1854="","",COUNTA($B$4:$B1854))</f>
        <v/>
      </c>
      <c r="B1854" s="71" t="n"/>
      <c r="C1854" s="44" t="n"/>
      <c r="D1854" s="45" t="n"/>
      <c r="E1854" s="45" t="n"/>
      <c r="F1854" s="45" t="n"/>
      <c r="G1854" s="45" t="n"/>
      <c r="H1854" s="45" t="n"/>
      <c r="I1854" s="45" t="n"/>
      <c r="J1854" s="38" t="n"/>
    </row>
    <row r="1855">
      <c r="A1855" s="16">
        <f>IF($B1855="","",COUNTA($B$4:$B1855))</f>
        <v/>
      </c>
      <c r="B1855" s="72" t="n"/>
      <c r="C1855" s="46" t="n"/>
      <c r="D1855" s="47" t="n"/>
      <c r="E1855" s="47" t="n"/>
      <c r="F1855" s="47" t="n"/>
      <c r="G1855" s="47" t="n"/>
      <c r="H1855" s="47" t="n"/>
      <c r="I1855" s="47" t="n"/>
      <c r="J1855" s="40" t="n"/>
    </row>
    <row r="1856">
      <c r="A1856" s="16">
        <f>IF($B1856="","",COUNTA($B$4:$B1856))</f>
        <v/>
      </c>
      <c r="B1856" s="71" t="n"/>
      <c r="C1856" s="44" t="n"/>
      <c r="D1856" s="45" t="n"/>
      <c r="E1856" s="45" t="n"/>
      <c r="F1856" s="45" t="n"/>
      <c r="G1856" s="45" t="n"/>
      <c r="H1856" s="45" t="n"/>
      <c r="I1856" s="45" t="n"/>
      <c r="J1856" s="38" t="n"/>
    </row>
    <row r="1857">
      <c r="A1857" s="16">
        <f>IF($B1857="","",COUNTA($B$4:$B1857))</f>
        <v/>
      </c>
      <c r="B1857" s="72" t="n"/>
      <c r="C1857" s="46" t="n"/>
      <c r="D1857" s="47" t="n"/>
      <c r="E1857" s="47" t="n"/>
      <c r="F1857" s="47" t="n"/>
      <c r="G1857" s="47" t="n"/>
      <c r="H1857" s="47" t="n"/>
      <c r="I1857" s="47" t="n"/>
      <c r="J1857" s="40" t="n"/>
    </row>
    <row r="1858">
      <c r="A1858" s="16">
        <f>IF($B1858="","",COUNTA($B$4:$B1858))</f>
        <v/>
      </c>
      <c r="B1858" s="71" t="n"/>
      <c r="C1858" s="44" t="n"/>
      <c r="D1858" s="45" t="n"/>
      <c r="E1858" s="45" t="n"/>
      <c r="F1858" s="45" t="n"/>
      <c r="G1858" s="45" t="n"/>
      <c r="H1858" s="45" t="n"/>
      <c r="I1858" s="45" t="n"/>
      <c r="J1858" s="38" t="n"/>
    </row>
    <row r="1859">
      <c r="A1859" s="16">
        <f>IF($B1859="","",COUNTA($B$4:$B1859))</f>
        <v/>
      </c>
      <c r="B1859" s="72" t="n"/>
      <c r="C1859" s="46" t="n"/>
      <c r="D1859" s="47" t="n"/>
      <c r="E1859" s="47" t="n"/>
      <c r="F1859" s="47" t="n"/>
      <c r="G1859" s="47" t="n"/>
      <c r="H1859" s="47" t="n"/>
      <c r="I1859" s="47" t="n"/>
      <c r="J1859" s="40" t="n"/>
    </row>
    <row r="1860">
      <c r="A1860" s="16">
        <f>IF($B1860="","",COUNTA($B$4:$B1860))</f>
        <v/>
      </c>
      <c r="B1860" s="71" t="n"/>
      <c r="C1860" s="44" t="n"/>
      <c r="D1860" s="45" t="n"/>
      <c r="E1860" s="45" t="n"/>
      <c r="F1860" s="45" t="n"/>
      <c r="G1860" s="45" t="n"/>
      <c r="H1860" s="45" t="n"/>
      <c r="I1860" s="45" t="n"/>
      <c r="J1860" s="38" t="n"/>
    </row>
    <row r="1861">
      <c r="A1861" s="16">
        <f>IF($B1861="","",COUNTA($B$4:$B1861))</f>
        <v/>
      </c>
      <c r="B1861" s="72" t="n"/>
      <c r="C1861" s="46" t="n"/>
      <c r="D1861" s="47" t="n"/>
      <c r="E1861" s="47" t="n"/>
      <c r="F1861" s="47" t="n"/>
      <c r="G1861" s="47" t="n"/>
      <c r="H1861" s="47" t="n"/>
      <c r="I1861" s="47" t="n"/>
      <c r="J1861" s="40" t="n"/>
    </row>
    <row r="1862">
      <c r="A1862" s="16">
        <f>IF($B1862="","",COUNTA($B$4:$B1862))</f>
        <v/>
      </c>
      <c r="B1862" s="71" t="n"/>
      <c r="C1862" s="44" t="n"/>
      <c r="D1862" s="45" t="n"/>
      <c r="E1862" s="45" t="n"/>
      <c r="F1862" s="45" t="n"/>
      <c r="G1862" s="45" t="n"/>
      <c r="H1862" s="45" t="n"/>
      <c r="I1862" s="45" t="n"/>
      <c r="J1862" s="38" t="n"/>
    </row>
    <row r="1863">
      <c r="A1863" s="16">
        <f>IF($B1863="","",COUNTA($B$4:$B1863))</f>
        <v/>
      </c>
      <c r="B1863" s="72" t="n"/>
      <c r="C1863" s="46" t="n"/>
      <c r="D1863" s="47" t="n"/>
      <c r="E1863" s="47" t="n"/>
      <c r="F1863" s="47" t="n"/>
      <c r="G1863" s="47" t="n"/>
      <c r="H1863" s="47" t="n"/>
      <c r="I1863" s="47" t="n"/>
      <c r="J1863" s="40" t="n"/>
    </row>
    <row r="1864">
      <c r="A1864" s="16">
        <f>IF($B1864="","",COUNTA($B$4:$B1864))</f>
        <v/>
      </c>
      <c r="B1864" s="71" t="n"/>
      <c r="C1864" s="44" t="n"/>
      <c r="D1864" s="45" t="n"/>
      <c r="E1864" s="45" t="n"/>
      <c r="F1864" s="45" t="n"/>
      <c r="G1864" s="45" t="n"/>
      <c r="H1864" s="45" t="n"/>
      <c r="I1864" s="45" t="n"/>
      <c r="J1864" s="38" t="n"/>
    </row>
    <row r="1865">
      <c r="A1865" s="16">
        <f>IF($B1865="","",COUNTA($B$4:$B1865))</f>
        <v/>
      </c>
      <c r="B1865" s="72" t="n"/>
      <c r="C1865" s="46" t="n"/>
      <c r="D1865" s="47" t="n"/>
      <c r="E1865" s="47" t="n"/>
      <c r="F1865" s="47" t="n"/>
      <c r="G1865" s="47" t="n"/>
      <c r="H1865" s="47" t="n"/>
      <c r="I1865" s="47" t="n"/>
      <c r="J1865" s="40" t="n"/>
    </row>
    <row r="1866">
      <c r="A1866" s="16">
        <f>IF($B1866="","",COUNTA($B$4:$B1866))</f>
        <v/>
      </c>
      <c r="B1866" s="71" t="n"/>
      <c r="C1866" s="44" t="n"/>
      <c r="D1866" s="45" t="n"/>
      <c r="E1866" s="45" t="n"/>
      <c r="F1866" s="45" t="n"/>
      <c r="G1866" s="45" t="n"/>
      <c r="H1866" s="45" t="n"/>
      <c r="I1866" s="45" t="n"/>
      <c r="J1866" s="38" t="n"/>
    </row>
    <row r="1867">
      <c r="A1867" s="16">
        <f>IF($B1867="","",COUNTA($B$4:$B1867))</f>
        <v/>
      </c>
      <c r="B1867" s="72" t="n"/>
      <c r="C1867" s="46" t="n"/>
      <c r="D1867" s="47" t="n"/>
      <c r="E1867" s="47" t="n"/>
      <c r="F1867" s="47" t="n"/>
      <c r="G1867" s="47" t="n"/>
      <c r="H1867" s="47" t="n"/>
      <c r="I1867" s="47" t="n"/>
      <c r="J1867" s="40" t="n"/>
    </row>
    <row r="1868">
      <c r="A1868" s="16">
        <f>IF($B1868="","",COUNTA($B$4:$B1868))</f>
        <v/>
      </c>
      <c r="B1868" s="71" t="n"/>
      <c r="C1868" s="44" t="n"/>
      <c r="D1868" s="45" t="n"/>
      <c r="E1868" s="45" t="n"/>
      <c r="F1868" s="45" t="n"/>
      <c r="G1868" s="45" t="n"/>
      <c r="H1868" s="45" t="n"/>
      <c r="I1868" s="45" t="n"/>
      <c r="J1868" s="38" t="n"/>
    </row>
    <row r="1869">
      <c r="A1869" s="16">
        <f>IF($B1869="","",COUNTA($B$4:$B1869))</f>
        <v/>
      </c>
      <c r="B1869" s="72" t="n"/>
      <c r="C1869" s="46" t="n"/>
      <c r="D1869" s="47" t="n"/>
      <c r="E1869" s="47" t="n"/>
      <c r="F1869" s="47" t="n"/>
      <c r="G1869" s="47" t="n"/>
      <c r="H1869" s="47" t="n"/>
      <c r="I1869" s="47" t="n"/>
      <c r="J1869" s="40" t="n"/>
    </row>
    <row r="1870">
      <c r="A1870" s="16">
        <f>IF($B1870="","",COUNTA($B$4:$B1870))</f>
        <v/>
      </c>
      <c r="B1870" s="71" t="n"/>
      <c r="C1870" s="44" t="n"/>
      <c r="D1870" s="45" t="n"/>
      <c r="E1870" s="45" t="n"/>
      <c r="F1870" s="45" t="n"/>
      <c r="G1870" s="45" t="n"/>
      <c r="H1870" s="45" t="n"/>
      <c r="I1870" s="45" t="n"/>
      <c r="J1870" s="38" t="n"/>
    </row>
    <row r="1871">
      <c r="A1871" s="16">
        <f>IF($B1871="","",COUNTA($B$4:$B1871))</f>
        <v/>
      </c>
      <c r="B1871" s="72" t="n"/>
      <c r="C1871" s="46" t="n"/>
      <c r="D1871" s="47" t="n"/>
      <c r="E1871" s="47" t="n"/>
      <c r="F1871" s="47" t="n"/>
      <c r="G1871" s="47" t="n"/>
      <c r="H1871" s="47" t="n"/>
      <c r="I1871" s="47" t="n"/>
      <c r="J1871" s="40" t="n"/>
    </row>
    <row r="1872">
      <c r="A1872" s="16">
        <f>IF($B1872="","",COUNTA($B$4:$B1872))</f>
        <v/>
      </c>
      <c r="B1872" s="71" t="n"/>
      <c r="C1872" s="44" t="n"/>
      <c r="D1872" s="45" t="n"/>
      <c r="E1872" s="45" t="n"/>
      <c r="F1872" s="45" t="n"/>
      <c r="G1872" s="45" t="n"/>
      <c r="H1872" s="45" t="n"/>
      <c r="I1872" s="45" t="n"/>
      <c r="J1872" s="38" t="n"/>
    </row>
    <row r="1873">
      <c r="A1873" s="16">
        <f>IF($B1873="","",COUNTA($B$4:$B1873))</f>
        <v/>
      </c>
      <c r="B1873" s="72" t="n"/>
      <c r="C1873" s="46" t="n"/>
      <c r="D1873" s="47" t="n"/>
      <c r="E1873" s="47" t="n"/>
      <c r="F1873" s="47" t="n"/>
      <c r="G1873" s="47" t="n"/>
      <c r="H1873" s="47" t="n"/>
      <c r="I1873" s="47" t="n"/>
      <c r="J1873" s="40" t="n"/>
    </row>
    <row r="1874">
      <c r="A1874" s="16">
        <f>IF($B1874="","",COUNTA($B$4:$B1874))</f>
        <v/>
      </c>
      <c r="B1874" s="71" t="n"/>
      <c r="C1874" s="44" t="n"/>
      <c r="D1874" s="45" t="n"/>
      <c r="E1874" s="45" t="n"/>
      <c r="F1874" s="45" t="n"/>
      <c r="G1874" s="45" t="n"/>
      <c r="H1874" s="45" t="n"/>
      <c r="I1874" s="45" t="n"/>
      <c r="J1874" s="38" t="n"/>
    </row>
    <row r="1875">
      <c r="A1875" s="16">
        <f>IF($B1875="","",COUNTA($B$4:$B1875))</f>
        <v/>
      </c>
      <c r="B1875" s="72" t="n"/>
      <c r="C1875" s="46" t="n"/>
      <c r="D1875" s="47" t="n"/>
      <c r="E1875" s="47" t="n"/>
      <c r="F1875" s="47" t="n"/>
      <c r="G1875" s="47" t="n"/>
      <c r="H1875" s="47" t="n"/>
      <c r="I1875" s="47" t="n"/>
      <c r="J1875" s="40" t="n"/>
    </row>
    <row r="1876">
      <c r="A1876" s="16">
        <f>IF($B1876="","",COUNTA($B$4:$B1876))</f>
        <v/>
      </c>
      <c r="B1876" s="71" t="n"/>
      <c r="C1876" s="44" t="n"/>
      <c r="D1876" s="45" t="n"/>
      <c r="E1876" s="45" t="n"/>
      <c r="F1876" s="45" t="n"/>
      <c r="G1876" s="45" t="n"/>
      <c r="H1876" s="45" t="n"/>
      <c r="I1876" s="45" t="n"/>
      <c r="J1876" s="38" t="n"/>
    </row>
    <row r="1877">
      <c r="A1877" s="16">
        <f>IF($B1877="","",COUNTA($B$4:$B1877))</f>
        <v/>
      </c>
      <c r="B1877" s="72" t="n"/>
      <c r="C1877" s="46" t="n"/>
      <c r="D1877" s="47" t="n"/>
      <c r="E1877" s="47" t="n"/>
      <c r="F1877" s="47" t="n"/>
      <c r="G1877" s="47" t="n"/>
      <c r="H1877" s="47" t="n"/>
      <c r="I1877" s="47" t="n"/>
      <c r="J1877" s="40" t="n"/>
    </row>
    <row r="1878">
      <c r="A1878" s="16">
        <f>IF($B1878="","",COUNTA($B$4:$B1878))</f>
        <v/>
      </c>
      <c r="B1878" s="71" t="n"/>
      <c r="C1878" s="44" t="n"/>
      <c r="D1878" s="45" t="n"/>
      <c r="E1878" s="45" t="n"/>
      <c r="F1878" s="45" t="n"/>
      <c r="G1878" s="45" t="n"/>
      <c r="H1878" s="45" t="n"/>
      <c r="I1878" s="45" t="n"/>
      <c r="J1878" s="38" t="n"/>
    </row>
    <row r="1879">
      <c r="A1879" s="16">
        <f>IF($B1879="","",COUNTA($B$4:$B1879))</f>
        <v/>
      </c>
      <c r="B1879" s="72" t="n"/>
      <c r="C1879" s="46" t="n"/>
      <c r="D1879" s="47" t="n"/>
      <c r="E1879" s="47" t="n"/>
      <c r="F1879" s="47" t="n"/>
      <c r="G1879" s="47" t="n"/>
      <c r="H1879" s="47" t="n"/>
      <c r="I1879" s="47" t="n"/>
      <c r="J1879" s="40" t="n"/>
    </row>
    <row r="1880">
      <c r="A1880" s="16">
        <f>IF($B1880="","",COUNTA($B$4:$B1880))</f>
        <v/>
      </c>
      <c r="B1880" s="71" t="n"/>
      <c r="C1880" s="44" t="n"/>
      <c r="D1880" s="45" t="n"/>
      <c r="E1880" s="45" t="n"/>
      <c r="F1880" s="45" t="n"/>
      <c r="G1880" s="45" t="n"/>
      <c r="H1880" s="45" t="n"/>
      <c r="I1880" s="45" t="n"/>
      <c r="J1880" s="38" t="n"/>
    </row>
    <row r="1881">
      <c r="A1881" s="16">
        <f>IF($B1881="","",COUNTA($B$4:$B1881))</f>
        <v/>
      </c>
      <c r="B1881" s="72" t="n"/>
      <c r="C1881" s="46" t="n"/>
      <c r="D1881" s="47" t="n"/>
      <c r="E1881" s="47" t="n"/>
      <c r="F1881" s="47" t="n"/>
      <c r="G1881" s="47" t="n"/>
      <c r="H1881" s="47" t="n"/>
      <c r="I1881" s="47" t="n"/>
      <c r="J1881" s="40" t="n"/>
    </row>
    <row r="1882">
      <c r="A1882" s="16">
        <f>IF($B1882="","",COUNTA($B$4:$B1882))</f>
        <v/>
      </c>
      <c r="B1882" s="71" t="n"/>
      <c r="C1882" s="44" t="n"/>
      <c r="D1882" s="45" t="n"/>
      <c r="E1882" s="45" t="n"/>
      <c r="F1882" s="45" t="n"/>
      <c r="G1882" s="45" t="n"/>
      <c r="H1882" s="45" t="n"/>
      <c r="I1882" s="45" t="n"/>
      <c r="J1882" s="38" t="n"/>
    </row>
    <row r="1883">
      <c r="A1883" s="16">
        <f>IF($B1883="","",COUNTA($B$4:$B1883))</f>
        <v/>
      </c>
      <c r="B1883" s="72" t="n"/>
      <c r="C1883" s="46" t="n"/>
      <c r="D1883" s="47" t="n"/>
      <c r="E1883" s="47" t="n"/>
      <c r="F1883" s="47" t="n"/>
      <c r="G1883" s="47" t="n"/>
      <c r="H1883" s="47" t="n"/>
      <c r="I1883" s="47" t="n"/>
      <c r="J1883" s="40" t="n"/>
    </row>
    <row r="1884">
      <c r="A1884" s="16">
        <f>IF($B1884="","",COUNTA($B$4:$B1884))</f>
        <v/>
      </c>
      <c r="B1884" s="71" t="n"/>
      <c r="C1884" s="44" t="n"/>
      <c r="D1884" s="45" t="n"/>
      <c r="E1884" s="45" t="n"/>
      <c r="F1884" s="45" t="n"/>
      <c r="G1884" s="45" t="n"/>
      <c r="H1884" s="45" t="n"/>
      <c r="I1884" s="45" t="n"/>
      <c r="J1884" s="38" t="n"/>
    </row>
    <row r="1885">
      <c r="A1885" s="16">
        <f>IF($B1885="","",COUNTA($B$4:$B1885))</f>
        <v/>
      </c>
      <c r="B1885" s="72" t="n"/>
      <c r="C1885" s="46" t="n"/>
      <c r="D1885" s="47" t="n"/>
      <c r="E1885" s="47" t="n"/>
      <c r="F1885" s="47" t="n"/>
      <c r="G1885" s="47" t="n"/>
      <c r="H1885" s="47" t="n"/>
      <c r="I1885" s="47" t="n"/>
      <c r="J1885" s="40" t="n"/>
    </row>
    <row r="1886">
      <c r="A1886" s="16">
        <f>IF($B1886="","",COUNTA($B$4:$B1886))</f>
        <v/>
      </c>
      <c r="B1886" s="71" t="n"/>
      <c r="C1886" s="44" t="n"/>
      <c r="D1886" s="45" t="n"/>
      <c r="E1886" s="45" t="n"/>
      <c r="F1886" s="45" t="n"/>
      <c r="G1886" s="45" t="n"/>
      <c r="H1886" s="45" t="n"/>
      <c r="I1886" s="45" t="n"/>
      <c r="J1886" s="38" t="n"/>
    </row>
    <row r="1887">
      <c r="A1887" s="16">
        <f>IF($B1887="","",COUNTA($B$4:$B1887))</f>
        <v/>
      </c>
      <c r="B1887" s="72" t="n"/>
      <c r="C1887" s="46" t="n"/>
      <c r="D1887" s="47" t="n"/>
      <c r="E1887" s="47" t="n"/>
      <c r="F1887" s="47" t="n"/>
      <c r="G1887" s="47" t="n"/>
      <c r="H1887" s="47" t="n"/>
      <c r="I1887" s="47" t="n"/>
      <c r="J1887" s="40" t="n"/>
    </row>
    <row r="1888">
      <c r="A1888" s="16">
        <f>IF($B1888="","",COUNTA($B$4:$B1888))</f>
        <v/>
      </c>
      <c r="B1888" s="71" t="n"/>
      <c r="C1888" s="44" t="n"/>
      <c r="D1888" s="45" t="n"/>
      <c r="E1888" s="45" t="n"/>
      <c r="F1888" s="45" t="n"/>
      <c r="G1888" s="45" t="n"/>
      <c r="H1888" s="45" t="n"/>
      <c r="I1888" s="45" t="n"/>
      <c r="J1888" s="38" t="n"/>
    </row>
    <row r="1889">
      <c r="A1889" s="16">
        <f>IF($B1889="","",COUNTA($B$4:$B1889))</f>
        <v/>
      </c>
      <c r="B1889" s="72" t="n"/>
      <c r="C1889" s="46" t="n"/>
      <c r="D1889" s="47" t="n"/>
      <c r="E1889" s="47" t="n"/>
      <c r="F1889" s="47" t="n"/>
      <c r="G1889" s="47" t="n"/>
      <c r="H1889" s="47" t="n"/>
      <c r="I1889" s="47" t="n"/>
      <c r="J1889" s="40" t="n"/>
    </row>
    <row r="1890">
      <c r="A1890" s="16">
        <f>IF($B1890="","",COUNTA($B$4:$B1890))</f>
        <v/>
      </c>
      <c r="B1890" s="71" t="n"/>
      <c r="C1890" s="44" t="n"/>
      <c r="D1890" s="45" t="n"/>
      <c r="E1890" s="45" t="n"/>
      <c r="F1890" s="45" t="n"/>
      <c r="G1890" s="45" t="n"/>
      <c r="H1890" s="45" t="n"/>
      <c r="I1890" s="45" t="n"/>
      <c r="J1890" s="38" t="n"/>
    </row>
    <row r="1891">
      <c r="A1891" s="16">
        <f>IF($B1891="","",COUNTA($B$4:$B1891))</f>
        <v/>
      </c>
      <c r="B1891" s="72" t="n"/>
      <c r="C1891" s="46" t="n"/>
      <c r="D1891" s="47" t="n"/>
      <c r="E1891" s="47" t="n"/>
      <c r="F1891" s="47" t="n"/>
      <c r="G1891" s="47" t="n"/>
      <c r="H1891" s="47" t="n"/>
      <c r="I1891" s="47" t="n"/>
      <c r="J1891" s="40" t="n"/>
    </row>
    <row r="1892">
      <c r="A1892" s="16">
        <f>IF($B1892="","",COUNTA($B$4:$B1892))</f>
        <v/>
      </c>
      <c r="B1892" s="71" t="n"/>
      <c r="C1892" s="44" t="n"/>
      <c r="D1892" s="45" t="n"/>
      <c r="E1892" s="45" t="n"/>
      <c r="F1892" s="45" t="n"/>
      <c r="G1892" s="45" t="n"/>
      <c r="H1892" s="45" t="n"/>
      <c r="I1892" s="45" t="n"/>
      <c r="J1892" s="38" t="n"/>
    </row>
    <row r="1893">
      <c r="A1893" s="16">
        <f>IF($B1893="","",COUNTA($B$4:$B1893))</f>
        <v/>
      </c>
      <c r="B1893" s="72" t="n"/>
      <c r="C1893" s="46" t="n"/>
      <c r="D1893" s="47" t="n"/>
      <c r="E1893" s="47" t="n"/>
      <c r="F1893" s="47" t="n"/>
      <c r="G1893" s="47" t="n"/>
      <c r="H1893" s="47" t="n"/>
      <c r="I1893" s="47" t="n"/>
      <c r="J1893" s="40" t="n"/>
    </row>
    <row r="1894">
      <c r="A1894" s="16">
        <f>IF($B1894="","",COUNTA($B$4:$B1894))</f>
        <v/>
      </c>
      <c r="B1894" s="71" t="n"/>
      <c r="C1894" s="44" t="n"/>
      <c r="D1894" s="45" t="n"/>
      <c r="E1894" s="45" t="n"/>
      <c r="F1894" s="45" t="n"/>
      <c r="G1894" s="45" t="n"/>
      <c r="H1894" s="45" t="n"/>
      <c r="I1894" s="45" t="n"/>
      <c r="J1894" s="38" t="n"/>
    </row>
    <row r="1895">
      <c r="A1895" s="16">
        <f>IF($B1895="","",COUNTA($B$4:$B1895))</f>
        <v/>
      </c>
      <c r="B1895" s="72" t="n"/>
      <c r="C1895" s="46" t="n"/>
      <c r="D1895" s="47" t="n"/>
      <c r="E1895" s="47" t="n"/>
      <c r="F1895" s="47" t="n"/>
      <c r="G1895" s="47" t="n"/>
      <c r="H1895" s="47" t="n"/>
      <c r="I1895" s="47" t="n"/>
      <c r="J1895" s="40" t="n"/>
    </row>
    <row r="1896">
      <c r="A1896" s="16">
        <f>IF($B1896="","",COUNTA($B$4:$B1896))</f>
        <v/>
      </c>
      <c r="B1896" s="71" t="n"/>
      <c r="C1896" s="44" t="n"/>
      <c r="D1896" s="45" t="n"/>
      <c r="E1896" s="45" t="n"/>
      <c r="F1896" s="45" t="n"/>
      <c r="G1896" s="45" t="n"/>
      <c r="H1896" s="45" t="n"/>
      <c r="I1896" s="45" t="n"/>
      <c r="J1896" s="38" t="n"/>
    </row>
    <row r="1897">
      <c r="A1897" s="16">
        <f>IF($B1897="","",COUNTA($B$4:$B1897))</f>
        <v/>
      </c>
      <c r="B1897" s="72" t="n"/>
      <c r="C1897" s="46" t="n"/>
      <c r="D1897" s="47" t="n"/>
      <c r="E1897" s="47" t="n"/>
      <c r="F1897" s="47" t="n"/>
      <c r="G1897" s="47" t="n"/>
      <c r="H1897" s="47" t="n"/>
      <c r="I1897" s="47" t="n"/>
      <c r="J1897" s="40" t="n"/>
    </row>
    <row r="1898">
      <c r="A1898" s="16">
        <f>IF($B1898="","",COUNTA($B$4:$B1898))</f>
        <v/>
      </c>
      <c r="B1898" s="71" t="n"/>
      <c r="C1898" s="44" t="n"/>
      <c r="D1898" s="45" t="n"/>
      <c r="E1898" s="45" t="n"/>
      <c r="F1898" s="45" t="n"/>
      <c r="G1898" s="45" t="n"/>
      <c r="H1898" s="45" t="n"/>
      <c r="I1898" s="45" t="n"/>
      <c r="J1898" s="38" t="n"/>
    </row>
    <row r="1899">
      <c r="A1899" s="16">
        <f>IF($B1899="","",COUNTA($B$4:$B1899))</f>
        <v/>
      </c>
      <c r="B1899" s="72" t="n"/>
      <c r="C1899" s="46" t="n"/>
      <c r="D1899" s="47" t="n"/>
      <c r="E1899" s="47" t="n"/>
      <c r="F1899" s="47" t="n"/>
      <c r="G1899" s="47" t="n"/>
      <c r="H1899" s="47" t="n"/>
      <c r="I1899" s="47" t="n"/>
      <c r="J1899" s="40" t="n"/>
    </row>
    <row r="1900">
      <c r="A1900" s="16">
        <f>IF($B1900="","",COUNTA($B$4:$B1900))</f>
        <v/>
      </c>
      <c r="B1900" s="71" t="n"/>
      <c r="C1900" s="44" t="n"/>
      <c r="D1900" s="45" t="n"/>
      <c r="E1900" s="45" t="n"/>
      <c r="F1900" s="45" t="n"/>
      <c r="G1900" s="45" t="n"/>
      <c r="H1900" s="45" t="n"/>
      <c r="I1900" s="45" t="n"/>
      <c r="J1900" s="38" t="n"/>
    </row>
    <row r="1901">
      <c r="A1901" s="16">
        <f>IF($B1901="","",COUNTA($B$4:$B1901))</f>
        <v/>
      </c>
      <c r="B1901" s="72" t="n"/>
      <c r="C1901" s="46" t="n"/>
      <c r="D1901" s="47" t="n"/>
      <c r="E1901" s="47" t="n"/>
      <c r="F1901" s="47" t="n"/>
      <c r="G1901" s="47" t="n"/>
      <c r="H1901" s="47" t="n"/>
      <c r="I1901" s="47" t="n"/>
      <c r="J1901" s="40" t="n"/>
    </row>
    <row r="1902">
      <c r="A1902" s="16">
        <f>IF($B1902="","",COUNTA($B$4:$B1902))</f>
        <v/>
      </c>
      <c r="B1902" s="71" t="n"/>
      <c r="C1902" s="44" t="n"/>
      <c r="D1902" s="45" t="n"/>
      <c r="E1902" s="45" t="n"/>
      <c r="F1902" s="45" t="n"/>
      <c r="G1902" s="45" t="n"/>
      <c r="H1902" s="45" t="n"/>
      <c r="I1902" s="45" t="n"/>
      <c r="J1902" s="38" t="n"/>
    </row>
    <row r="1903">
      <c r="A1903" s="16">
        <f>IF($B1903="","",COUNTA($B$4:$B1903))</f>
        <v/>
      </c>
      <c r="B1903" s="72" t="n"/>
      <c r="C1903" s="46" t="n"/>
      <c r="D1903" s="47" t="n"/>
      <c r="E1903" s="47" t="n"/>
      <c r="F1903" s="47" t="n"/>
      <c r="G1903" s="47" t="n"/>
      <c r="H1903" s="47" t="n"/>
      <c r="I1903" s="47" t="n"/>
      <c r="J1903" s="40" t="n"/>
    </row>
    <row r="1904">
      <c r="A1904" s="16">
        <f>IF($B1904="","",COUNTA($B$4:$B1904))</f>
        <v/>
      </c>
      <c r="B1904" s="71" t="n"/>
      <c r="C1904" s="44" t="n"/>
      <c r="D1904" s="45" t="n"/>
      <c r="E1904" s="45" t="n"/>
      <c r="F1904" s="45" t="n"/>
      <c r="G1904" s="45" t="n"/>
      <c r="H1904" s="45" t="n"/>
      <c r="I1904" s="45" t="n"/>
      <c r="J1904" s="38" t="n"/>
    </row>
    <row r="1905">
      <c r="A1905" s="16">
        <f>IF($B1905="","",COUNTA($B$4:$B1905))</f>
        <v/>
      </c>
      <c r="B1905" s="72" t="n"/>
      <c r="C1905" s="46" t="n"/>
      <c r="D1905" s="47" t="n"/>
      <c r="E1905" s="47" t="n"/>
      <c r="F1905" s="47" t="n"/>
      <c r="G1905" s="47" t="n"/>
      <c r="H1905" s="47" t="n"/>
      <c r="I1905" s="47" t="n"/>
      <c r="J1905" s="40" t="n"/>
    </row>
    <row r="1906">
      <c r="A1906" s="16">
        <f>IF($B1906="","",COUNTA($B$4:$B1906))</f>
        <v/>
      </c>
      <c r="B1906" s="71" t="n"/>
      <c r="C1906" s="44" t="n"/>
      <c r="D1906" s="45" t="n"/>
      <c r="E1906" s="45" t="n"/>
      <c r="F1906" s="45" t="n"/>
      <c r="G1906" s="45" t="n"/>
      <c r="H1906" s="45" t="n"/>
      <c r="I1906" s="45" t="n"/>
      <c r="J1906" s="38" t="n"/>
    </row>
    <row r="1907">
      <c r="A1907" s="16">
        <f>IF($B1907="","",COUNTA($B$4:$B1907))</f>
        <v/>
      </c>
      <c r="B1907" s="72" t="n"/>
      <c r="C1907" s="46" t="n"/>
      <c r="D1907" s="47" t="n"/>
      <c r="E1907" s="47" t="n"/>
      <c r="F1907" s="47" t="n"/>
      <c r="G1907" s="47" t="n"/>
      <c r="H1907" s="47" t="n"/>
      <c r="I1907" s="47" t="n"/>
      <c r="J1907" s="40" t="n"/>
    </row>
    <row r="1908">
      <c r="A1908" s="16">
        <f>IF($B1908="","",COUNTA($B$4:$B1908))</f>
        <v/>
      </c>
      <c r="B1908" s="71" t="n"/>
      <c r="C1908" s="44" t="n"/>
      <c r="D1908" s="45" t="n"/>
      <c r="E1908" s="45" t="n"/>
      <c r="F1908" s="45" t="n"/>
      <c r="G1908" s="45" t="n"/>
      <c r="H1908" s="45" t="n"/>
      <c r="I1908" s="45" t="n"/>
      <c r="J1908" s="38" t="n"/>
    </row>
    <row r="1909">
      <c r="A1909" s="16">
        <f>IF($B1909="","",COUNTA($B$4:$B1909))</f>
        <v/>
      </c>
      <c r="B1909" s="72" t="n"/>
      <c r="C1909" s="46" t="n"/>
      <c r="D1909" s="47" t="n"/>
      <c r="E1909" s="47" t="n"/>
      <c r="F1909" s="47" t="n"/>
      <c r="G1909" s="47" t="n"/>
      <c r="H1909" s="47" t="n"/>
      <c r="I1909" s="47" t="n"/>
      <c r="J1909" s="40" t="n"/>
    </row>
    <row r="1910">
      <c r="A1910" s="16">
        <f>IF($B1910="","",COUNTA($B$4:$B1910))</f>
        <v/>
      </c>
      <c r="B1910" s="71" t="n"/>
      <c r="C1910" s="44" t="n"/>
      <c r="D1910" s="45" t="n"/>
      <c r="E1910" s="45" t="n"/>
      <c r="F1910" s="45" t="n"/>
      <c r="G1910" s="45" t="n"/>
      <c r="H1910" s="45" t="n"/>
      <c r="I1910" s="45" t="n"/>
      <c r="J1910" s="38" t="n"/>
    </row>
    <row r="1911">
      <c r="A1911" s="16">
        <f>IF($B1911="","",COUNTA($B$4:$B1911))</f>
        <v/>
      </c>
      <c r="B1911" s="72" t="n"/>
      <c r="C1911" s="46" t="n"/>
      <c r="D1911" s="47" t="n"/>
      <c r="E1911" s="47" t="n"/>
      <c r="F1911" s="47" t="n"/>
      <c r="G1911" s="47" t="n"/>
      <c r="H1911" s="47" t="n"/>
      <c r="I1911" s="47" t="n"/>
      <c r="J1911" s="40" t="n"/>
    </row>
    <row r="1912">
      <c r="A1912" s="16">
        <f>IF($B1912="","",COUNTA($B$4:$B1912))</f>
        <v/>
      </c>
      <c r="B1912" s="71" t="n"/>
      <c r="C1912" s="44" t="n"/>
      <c r="D1912" s="45" t="n"/>
      <c r="E1912" s="45" t="n"/>
      <c r="F1912" s="45" t="n"/>
      <c r="G1912" s="45" t="n"/>
      <c r="H1912" s="45" t="n"/>
      <c r="I1912" s="45" t="n"/>
      <c r="J1912" s="38" t="n"/>
    </row>
    <row r="1913">
      <c r="A1913" s="16">
        <f>IF($B1913="","",COUNTA($B$4:$B1913))</f>
        <v/>
      </c>
      <c r="B1913" s="72" t="n"/>
      <c r="C1913" s="46" t="n"/>
      <c r="D1913" s="47" t="n"/>
      <c r="E1913" s="47" t="n"/>
      <c r="F1913" s="47" t="n"/>
      <c r="G1913" s="47" t="n"/>
      <c r="H1913" s="47" t="n"/>
      <c r="I1913" s="47" t="n"/>
      <c r="J1913" s="40" t="n"/>
    </row>
    <row r="1914">
      <c r="A1914" s="16">
        <f>IF($B1914="","",COUNTA($B$4:$B1914))</f>
        <v/>
      </c>
      <c r="B1914" s="71" t="n"/>
      <c r="C1914" s="44" t="n"/>
      <c r="D1914" s="45" t="n"/>
      <c r="E1914" s="45" t="n"/>
      <c r="F1914" s="45" t="n"/>
      <c r="G1914" s="45" t="n"/>
      <c r="H1914" s="45" t="n"/>
      <c r="I1914" s="45" t="n"/>
      <c r="J1914" s="38" t="n"/>
    </row>
    <row r="1915">
      <c r="A1915" s="16">
        <f>IF($B1915="","",COUNTA($B$4:$B1915))</f>
        <v/>
      </c>
      <c r="B1915" s="72" t="n"/>
      <c r="C1915" s="46" t="n"/>
      <c r="D1915" s="47" t="n"/>
      <c r="E1915" s="47" t="n"/>
      <c r="F1915" s="47" t="n"/>
      <c r="G1915" s="47" t="n"/>
      <c r="H1915" s="47" t="n"/>
      <c r="I1915" s="47" t="n"/>
      <c r="J1915" s="40" t="n"/>
    </row>
    <row r="1916">
      <c r="A1916" s="16">
        <f>IF($B1916="","",COUNTA($B$4:$B1916))</f>
        <v/>
      </c>
      <c r="B1916" s="71" t="n"/>
      <c r="C1916" s="44" t="n"/>
      <c r="D1916" s="45" t="n"/>
      <c r="E1916" s="45" t="n"/>
      <c r="F1916" s="45" t="n"/>
      <c r="G1916" s="45" t="n"/>
      <c r="H1916" s="45" t="n"/>
      <c r="I1916" s="45" t="n"/>
      <c r="J1916" s="38" t="n"/>
    </row>
    <row r="1917">
      <c r="A1917" s="16">
        <f>IF($B1917="","",COUNTA($B$4:$B1917))</f>
        <v/>
      </c>
      <c r="B1917" s="72" t="n"/>
      <c r="C1917" s="46" t="n"/>
      <c r="D1917" s="47" t="n"/>
      <c r="E1917" s="47" t="n"/>
      <c r="F1917" s="47" t="n"/>
      <c r="G1917" s="47" t="n"/>
      <c r="H1917" s="47" t="n"/>
      <c r="I1917" s="47" t="n"/>
      <c r="J1917" s="40" t="n"/>
    </row>
    <row r="1918">
      <c r="A1918" s="16">
        <f>IF($B1918="","",COUNTA($B$4:$B1918))</f>
        <v/>
      </c>
      <c r="B1918" s="71" t="n"/>
      <c r="C1918" s="44" t="n"/>
      <c r="D1918" s="45" t="n"/>
      <c r="E1918" s="45" t="n"/>
      <c r="F1918" s="45" t="n"/>
      <c r="G1918" s="45" t="n"/>
      <c r="H1918" s="45" t="n"/>
      <c r="I1918" s="45" t="n"/>
      <c r="J1918" s="38" t="n"/>
    </row>
    <row r="1919">
      <c r="A1919" s="16">
        <f>IF($B1919="","",COUNTA($B$4:$B1919))</f>
        <v/>
      </c>
      <c r="B1919" s="72" t="n"/>
      <c r="C1919" s="46" t="n"/>
      <c r="D1919" s="47" t="n"/>
      <c r="E1919" s="47" t="n"/>
      <c r="F1919" s="47" t="n"/>
      <c r="G1919" s="47" t="n"/>
      <c r="H1919" s="47" t="n"/>
      <c r="I1919" s="47" t="n"/>
      <c r="J1919" s="40" t="n"/>
    </row>
    <row r="1920">
      <c r="A1920" s="16">
        <f>IF($B1920="","",COUNTA($B$4:$B1920))</f>
        <v/>
      </c>
      <c r="B1920" s="71" t="n"/>
      <c r="C1920" s="44" t="n"/>
      <c r="D1920" s="45" t="n"/>
      <c r="E1920" s="45" t="n"/>
      <c r="F1920" s="45" t="n"/>
      <c r="G1920" s="45" t="n"/>
      <c r="H1920" s="45" t="n"/>
      <c r="I1920" s="45" t="n"/>
      <c r="J1920" s="38" t="n"/>
    </row>
    <row r="1921">
      <c r="A1921" s="16">
        <f>IF($B1921="","",COUNTA($B$4:$B1921))</f>
        <v/>
      </c>
      <c r="B1921" s="72" t="n"/>
      <c r="C1921" s="46" t="n"/>
      <c r="D1921" s="47" t="n"/>
      <c r="E1921" s="47" t="n"/>
      <c r="F1921" s="47" t="n"/>
      <c r="G1921" s="47" t="n"/>
      <c r="H1921" s="47" t="n"/>
      <c r="I1921" s="47" t="n"/>
      <c r="J1921" s="40" t="n"/>
    </row>
    <row r="1922">
      <c r="A1922" s="16">
        <f>IF($B1922="","",COUNTA($B$4:$B1922))</f>
        <v/>
      </c>
      <c r="B1922" s="71" t="n"/>
      <c r="C1922" s="44" t="n"/>
      <c r="D1922" s="45" t="n"/>
      <c r="E1922" s="45" t="n"/>
      <c r="F1922" s="45" t="n"/>
      <c r="G1922" s="45" t="n"/>
      <c r="H1922" s="45" t="n"/>
      <c r="I1922" s="45" t="n"/>
      <c r="J1922" s="38" t="n"/>
    </row>
    <row r="1923">
      <c r="A1923" s="16">
        <f>IF($B1923="","",COUNTA($B$4:$B1923))</f>
        <v/>
      </c>
      <c r="B1923" s="72" t="n"/>
      <c r="C1923" s="46" t="n"/>
      <c r="D1923" s="47" t="n"/>
      <c r="E1923" s="47" t="n"/>
      <c r="F1923" s="47" t="n"/>
      <c r="G1923" s="47" t="n"/>
      <c r="H1923" s="47" t="n"/>
      <c r="I1923" s="47" t="n"/>
      <c r="J1923" s="40" t="n"/>
    </row>
    <row r="1924">
      <c r="A1924" s="16">
        <f>IF($B1924="","",COUNTA($B$4:$B1924))</f>
        <v/>
      </c>
      <c r="B1924" s="71" t="n"/>
      <c r="C1924" s="44" t="n"/>
      <c r="D1924" s="45" t="n"/>
      <c r="E1924" s="45" t="n"/>
      <c r="F1924" s="45" t="n"/>
      <c r="G1924" s="45" t="n"/>
      <c r="H1924" s="45" t="n"/>
      <c r="I1924" s="45" t="n"/>
      <c r="J1924" s="38" t="n"/>
    </row>
    <row r="1925">
      <c r="A1925" s="16">
        <f>IF($B1925="","",COUNTA($B$4:$B1925))</f>
        <v/>
      </c>
      <c r="B1925" s="72" t="n"/>
      <c r="C1925" s="46" t="n"/>
      <c r="D1925" s="47" t="n"/>
      <c r="E1925" s="47" t="n"/>
      <c r="F1925" s="47" t="n"/>
      <c r="G1925" s="47" t="n"/>
      <c r="H1925" s="47" t="n"/>
      <c r="I1925" s="47" t="n"/>
      <c r="J1925" s="40" t="n"/>
    </row>
    <row r="1926">
      <c r="A1926" s="16">
        <f>IF($B1926="","",COUNTA($B$4:$B1926))</f>
        <v/>
      </c>
      <c r="B1926" s="71" t="n"/>
      <c r="C1926" s="44" t="n"/>
      <c r="D1926" s="45" t="n"/>
      <c r="E1926" s="45" t="n"/>
      <c r="F1926" s="45" t="n"/>
      <c r="G1926" s="45" t="n"/>
      <c r="H1926" s="45" t="n"/>
      <c r="I1926" s="45" t="n"/>
      <c r="J1926" s="38" t="n"/>
    </row>
    <row r="1927">
      <c r="A1927" s="16">
        <f>IF($B1927="","",COUNTA($B$4:$B1927))</f>
        <v/>
      </c>
      <c r="B1927" s="72" t="n"/>
      <c r="C1927" s="46" t="n"/>
      <c r="D1927" s="47" t="n"/>
      <c r="E1927" s="47" t="n"/>
      <c r="F1927" s="47" t="n"/>
      <c r="G1927" s="47" t="n"/>
      <c r="H1927" s="47" t="n"/>
      <c r="I1927" s="47" t="n"/>
      <c r="J1927" s="40" t="n"/>
    </row>
    <row r="1928">
      <c r="A1928" s="16">
        <f>IF($B1928="","",COUNTA($B$4:$B1928))</f>
        <v/>
      </c>
      <c r="B1928" s="71" t="n"/>
      <c r="C1928" s="44" t="n"/>
      <c r="D1928" s="45" t="n"/>
      <c r="E1928" s="45" t="n"/>
      <c r="F1928" s="45" t="n"/>
      <c r="G1928" s="45" t="n"/>
      <c r="H1928" s="45" t="n"/>
      <c r="I1928" s="45" t="n"/>
      <c r="J1928" s="38" t="n"/>
    </row>
    <row r="1929">
      <c r="A1929" s="16">
        <f>IF($B1929="","",COUNTA($B$4:$B1929))</f>
        <v/>
      </c>
      <c r="B1929" s="72" t="n"/>
      <c r="C1929" s="46" t="n"/>
      <c r="D1929" s="47" t="n"/>
      <c r="E1929" s="47" t="n"/>
      <c r="F1929" s="47" t="n"/>
      <c r="G1929" s="47" t="n"/>
      <c r="H1929" s="47" t="n"/>
      <c r="I1929" s="47" t="n"/>
      <c r="J1929" s="40" t="n"/>
    </row>
    <row r="1930">
      <c r="A1930" s="16">
        <f>IF($B1930="","",COUNTA($B$4:$B1930))</f>
        <v/>
      </c>
      <c r="B1930" s="71" t="n"/>
      <c r="C1930" s="44" t="n"/>
      <c r="D1930" s="45" t="n"/>
      <c r="E1930" s="45" t="n"/>
      <c r="F1930" s="45" t="n"/>
      <c r="G1930" s="45" t="n"/>
      <c r="H1930" s="45" t="n"/>
      <c r="I1930" s="45" t="n"/>
      <c r="J1930" s="38" t="n"/>
    </row>
    <row r="1931">
      <c r="A1931" s="16">
        <f>IF($B1931="","",COUNTA($B$4:$B1931))</f>
        <v/>
      </c>
      <c r="B1931" s="72" t="n"/>
      <c r="C1931" s="46" t="n"/>
      <c r="D1931" s="47" t="n"/>
      <c r="E1931" s="47" t="n"/>
      <c r="F1931" s="47" t="n"/>
      <c r="G1931" s="47" t="n"/>
      <c r="H1931" s="47" t="n"/>
      <c r="I1931" s="47" t="n"/>
      <c r="J1931" s="40" t="n"/>
    </row>
    <row r="1932">
      <c r="A1932" s="16">
        <f>IF($B1932="","",COUNTA($B$4:$B1932))</f>
        <v/>
      </c>
      <c r="B1932" s="71" t="n"/>
      <c r="C1932" s="44" t="n"/>
      <c r="D1932" s="45" t="n"/>
      <c r="E1932" s="45" t="n"/>
      <c r="F1932" s="45" t="n"/>
      <c r="G1932" s="45" t="n"/>
      <c r="H1932" s="45" t="n"/>
      <c r="I1932" s="45" t="n"/>
      <c r="J1932" s="38" t="n"/>
    </row>
    <row r="1933">
      <c r="A1933" s="16">
        <f>IF($B1933="","",COUNTA($B$4:$B1933))</f>
        <v/>
      </c>
      <c r="B1933" s="72" t="n"/>
      <c r="C1933" s="46" t="n"/>
      <c r="D1933" s="47" t="n"/>
      <c r="E1933" s="47" t="n"/>
      <c r="F1933" s="47" t="n"/>
      <c r="G1933" s="47" t="n"/>
      <c r="H1933" s="47" t="n"/>
      <c r="I1933" s="47" t="n"/>
      <c r="J1933" s="40" t="n"/>
    </row>
    <row r="1934">
      <c r="A1934" s="16">
        <f>IF($B1934="","",COUNTA($B$4:$B1934))</f>
        <v/>
      </c>
      <c r="B1934" s="71" t="n"/>
      <c r="C1934" s="44" t="n"/>
      <c r="D1934" s="45" t="n"/>
      <c r="E1934" s="45" t="n"/>
      <c r="F1934" s="45" t="n"/>
      <c r="G1934" s="45" t="n"/>
      <c r="H1934" s="45" t="n"/>
      <c r="I1934" s="45" t="n"/>
      <c r="J1934" s="38" t="n"/>
    </row>
    <row r="1935">
      <c r="A1935" s="16">
        <f>IF($B1935="","",COUNTA($B$4:$B1935))</f>
        <v/>
      </c>
      <c r="B1935" s="72" t="n"/>
      <c r="C1935" s="46" t="n"/>
      <c r="D1935" s="47" t="n"/>
      <c r="E1935" s="47" t="n"/>
      <c r="F1935" s="47" t="n"/>
      <c r="G1935" s="47" t="n"/>
      <c r="H1935" s="47" t="n"/>
      <c r="I1935" s="47" t="n"/>
      <c r="J1935" s="40" t="n"/>
    </row>
    <row r="1936">
      <c r="A1936" s="16">
        <f>IF($B1936="","",COUNTA($B$4:$B1936))</f>
        <v/>
      </c>
      <c r="B1936" s="71" t="n"/>
      <c r="C1936" s="44" t="n"/>
      <c r="D1936" s="45" t="n"/>
      <c r="E1936" s="45" t="n"/>
      <c r="F1936" s="45" t="n"/>
      <c r="G1936" s="45" t="n"/>
      <c r="H1936" s="45" t="n"/>
      <c r="I1936" s="45" t="n"/>
      <c r="J1936" s="38" t="n"/>
    </row>
    <row r="1937">
      <c r="A1937" s="16">
        <f>IF($B1937="","",COUNTA($B$4:$B1937))</f>
        <v/>
      </c>
      <c r="B1937" s="72" t="n"/>
      <c r="C1937" s="46" t="n"/>
      <c r="D1937" s="47" t="n"/>
      <c r="E1937" s="47" t="n"/>
      <c r="F1937" s="47" t="n"/>
      <c r="G1937" s="47" t="n"/>
      <c r="H1937" s="47" t="n"/>
      <c r="I1937" s="47" t="n"/>
      <c r="J1937" s="40" t="n"/>
    </row>
    <row r="1938">
      <c r="A1938" s="16">
        <f>IF($B1938="","",COUNTA($B$4:$B1938))</f>
        <v/>
      </c>
      <c r="B1938" s="71" t="n"/>
      <c r="C1938" s="44" t="n"/>
      <c r="D1938" s="45" t="n"/>
      <c r="E1938" s="45" t="n"/>
      <c r="F1938" s="45" t="n"/>
      <c r="G1938" s="45" t="n"/>
      <c r="H1938" s="45" t="n"/>
      <c r="I1938" s="45" t="n"/>
      <c r="J1938" s="38" t="n"/>
    </row>
    <row r="1939">
      <c r="A1939" s="16">
        <f>IF($B1939="","",COUNTA($B$4:$B1939))</f>
        <v/>
      </c>
      <c r="B1939" s="72" t="n"/>
      <c r="C1939" s="46" t="n"/>
      <c r="D1939" s="47" t="n"/>
      <c r="E1939" s="47" t="n"/>
      <c r="F1939" s="47" t="n"/>
      <c r="G1939" s="47" t="n"/>
      <c r="H1939" s="47" t="n"/>
      <c r="I1939" s="47" t="n"/>
      <c r="J1939" s="40" t="n"/>
    </row>
    <row r="1940">
      <c r="A1940" s="16">
        <f>IF($B1940="","",COUNTA($B$4:$B1940))</f>
        <v/>
      </c>
      <c r="B1940" s="71" t="n"/>
      <c r="C1940" s="44" t="n"/>
      <c r="D1940" s="45" t="n"/>
      <c r="E1940" s="45" t="n"/>
      <c r="F1940" s="45" t="n"/>
      <c r="G1940" s="45" t="n"/>
      <c r="H1940" s="45" t="n"/>
      <c r="I1940" s="45" t="n"/>
      <c r="J1940" s="38" t="n"/>
    </row>
    <row r="1941">
      <c r="A1941" s="16">
        <f>IF($B1941="","",COUNTA($B$4:$B1941))</f>
        <v/>
      </c>
      <c r="B1941" s="72" t="n"/>
      <c r="C1941" s="46" t="n"/>
      <c r="D1941" s="47" t="n"/>
      <c r="E1941" s="47" t="n"/>
      <c r="F1941" s="47" t="n"/>
      <c r="G1941" s="47" t="n"/>
      <c r="H1941" s="47" t="n"/>
      <c r="I1941" s="47" t="n"/>
      <c r="J1941" s="40" t="n"/>
    </row>
    <row r="1942">
      <c r="A1942" s="16">
        <f>IF($B1942="","",COUNTA($B$4:$B1942))</f>
        <v/>
      </c>
      <c r="B1942" s="71" t="n"/>
      <c r="C1942" s="44" t="n"/>
      <c r="D1942" s="45" t="n"/>
      <c r="E1942" s="45" t="n"/>
      <c r="F1942" s="45" t="n"/>
      <c r="G1942" s="45" t="n"/>
      <c r="H1942" s="45" t="n"/>
      <c r="I1942" s="45" t="n"/>
      <c r="J1942" s="38" t="n"/>
    </row>
    <row r="1943">
      <c r="A1943" s="16">
        <f>IF($B1943="","",COUNTA($B$4:$B1943))</f>
        <v/>
      </c>
      <c r="B1943" s="72" t="n"/>
      <c r="C1943" s="46" t="n"/>
      <c r="D1943" s="47" t="n"/>
      <c r="E1943" s="47" t="n"/>
      <c r="F1943" s="47" t="n"/>
      <c r="G1943" s="47" t="n"/>
      <c r="H1943" s="47" t="n"/>
      <c r="I1943" s="47" t="n"/>
      <c r="J1943" s="40" t="n"/>
    </row>
    <row r="1944">
      <c r="A1944" s="16">
        <f>IF($B1944="","",COUNTA($B$4:$B1944))</f>
        <v/>
      </c>
      <c r="B1944" s="71" t="n"/>
      <c r="C1944" s="44" t="n"/>
      <c r="D1944" s="45" t="n"/>
      <c r="E1944" s="45" t="n"/>
      <c r="F1944" s="45" t="n"/>
      <c r="G1944" s="45" t="n"/>
      <c r="H1944" s="45" t="n"/>
      <c r="I1944" s="45" t="n"/>
      <c r="J1944" s="38" t="n"/>
    </row>
    <row r="1945">
      <c r="A1945" s="16">
        <f>IF($B1945="","",COUNTA($B$4:$B1945))</f>
        <v/>
      </c>
      <c r="B1945" s="72" t="n"/>
      <c r="C1945" s="46" t="n"/>
      <c r="D1945" s="47" t="n"/>
      <c r="E1945" s="47" t="n"/>
      <c r="F1945" s="47" t="n"/>
      <c r="G1945" s="47" t="n"/>
      <c r="H1945" s="47" t="n"/>
      <c r="I1945" s="47" t="n"/>
      <c r="J1945" s="40" t="n"/>
    </row>
    <row r="1946">
      <c r="A1946" s="16">
        <f>IF($B1946="","",COUNTA($B$4:$B1946))</f>
        <v/>
      </c>
      <c r="B1946" s="71" t="n"/>
      <c r="C1946" s="44" t="n"/>
      <c r="D1946" s="45" t="n"/>
      <c r="E1946" s="45" t="n"/>
      <c r="F1946" s="45" t="n"/>
      <c r="G1946" s="45" t="n"/>
      <c r="H1946" s="45" t="n"/>
      <c r="I1946" s="45" t="n"/>
      <c r="J1946" s="38" t="n"/>
    </row>
    <row r="1947">
      <c r="A1947" s="16">
        <f>IF($B1947="","",COUNTA($B$4:$B1947))</f>
        <v/>
      </c>
      <c r="B1947" s="72" t="n"/>
      <c r="C1947" s="46" t="n"/>
      <c r="D1947" s="47" t="n"/>
      <c r="E1947" s="47" t="n"/>
      <c r="F1947" s="47" t="n"/>
      <c r="G1947" s="47" t="n"/>
      <c r="H1947" s="47" t="n"/>
      <c r="I1947" s="47" t="n"/>
      <c r="J1947" s="40" t="n"/>
    </row>
    <row r="1948">
      <c r="A1948" s="16">
        <f>IF($B1948="","",COUNTA($B$4:$B1948))</f>
        <v/>
      </c>
      <c r="B1948" s="71" t="n"/>
      <c r="C1948" s="44" t="n"/>
      <c r="D1948" s="45" t="n"/>
      <c r="E1948" s="45" t="n"/>
      <c r="F1948" s="45" t="n"/>
      <c r="G1948" s="45" t="n"/>
      <c r="H1948" s="45" t="n"/>
      <c r="I1948" s="45" t="n"/>
      <c r="J1948" s="38" t="n"/>
    </row>
    <row r="1949">
      <c r="A1949" s="16">
        <f>IF($B1949="","",COUNTA($B$4:$B1949))</f>
        <v/>
      </c>
      <c r="B1949" s="72" t="n"/>
      <c r="C1949" s="46" t="n"/>
      <c r="D1949" s="47" t="n"/>
      <c r="E1949" s="47" t="n"/>
      <c r="F1949" s="47" t="n"/>
      <c r="G1949" s="47" t="n"/>
      <c r="H1949" s="47" t="n"/>
      <c r="I1949" s="47" t="n"/>
      <c r="J1949" s="40" t="n"/>
    </row>
    <row r="1950">
      <c r="A1950" s="16">
        <f>IF($B1950="","",COUNTA($B$4:$B1950))</f>
        <v/>
      </c>
      <c r="B1950" s="71" t="n"/>
      <c r="C1950" s="44" t="n"/>
      <c r="D1950" s="45" t="n"/>
      <c r="E1950" s="45" t="n"/>
      <c r="F1950" s="45" t="n"/>
      <c r="G1950" s="45" t="n"/>
      <c r="H1950" s="45" t="n"/>
      <c r="I1950" s="45" t="n"/>
      <c r="J1950" s="38" t="n"/>
    </row>
    <row r="1951">
      <c r="A1951" s="16">
        <f>IF($B1951="","",COUNTA($B$4:$B1951))</f>
        <v/>
      </c>
      <c r="B1951" s="72" t="n"/>
      <c r="C1951" s="46" t="n"/>
      <c r="D1951" s="47" t="n"/>
      <c r="E1951" s="47" t="n"/>
      <c r="F1951" s="47" t="n"/>
      <c r="G1951" s="47" t="n"/>
      <c r="H1951" s="47" t="n"/>
      <c r="I1951" s="47" t="n"/>
      <c r="J1951" s="40" t="n"/>
    </row>
    <row r="1952">
      <c r="A1952" s="16">
        <f>IF($B1952="","",COUNTA($B$4:$B1952))</f>
        <v/>
      </c>
      <c r="B1952" s="71" t="n"/>
      <c r="C1952" s="44" t="n"/>
      <c r="D1952" s="45" t="n"/>
      <c r="E1952" s="45" t="n"/>
      <c r="F1952" s="45" t="n"/>
      <c r="G1952" s="45" t="n"/>
      <c r="H1952" s="45" t="n"/>
      <c r="I1952" s="45" t="n"/>
      <c r="J1952" s="38" t="n"/>
    </row>
    <row r="1953">
      <c r="A1953" s="16">
        <f>IF($B1953="","",COUNTA($B$4:$B1953))</f>
        <v/>
      </c>
      <c r="B1953" s="72" t="n"/>
      <c r="C1953" s="46" t="n"/>
      <c r="D1953" s="47" t="n"/>
      <c r="E1953" s="47" t="n"/>
      <c r="F1953" s="47" t="n"/>
      <c r="G1953" s="47" t="n"/>
      <c r="H1953" s="47" t="n"/>
      <c r="I1953" s="47" t="n"/>
      <c r="J1953" s="40" t="n"/>
    </row>
    <row r="1954">
      <c r="A1954" s="16">
        <f>IF($B1954="","",COUNTA($B$4:$B1954))</f>
        <v/>
      </c>
      <c r="B1954" s="71" t="n"/>
      <c r="C1954" s="44" t="n"/>
      <c r="D1954" s="45" t="n"/>
      <c r="E1954" s="45" t="n"/>
      <c r="F1954" s="45" t="n"/>
      <c r="G1954" s="45" t="n"/>
      <c r="H1954" s="45" t="n"/>
      <c r="I1954" s="45" t="n"/>
      <c r="J1954" s="38" t="n"/>
    </row>
    <row r="1955">
      <c r="A1955" s="16">
        <f>IF($B1955="","",COUNTA($B$4:$B1955))</f>
        <v/>
      </c>
      <c r="B1955" s="72" t="n"/>
      <c r="C1955" s="46" t="n"/>
      <c r="D1955" s="47" t="n"/>
      <c r="E1955" s="47" t="n"/>
      <c r="F1955" s="47" t="n"/>
      <c r="G1955" s="47" t="n"/>
      <c r="H1955" s="47" t="n"/>
      <c r="I1955" s="47" t="n"/>
      <c r="J1955" s="40" t="n"/>
    </row>
    <row r="1956">
      <c r="A1956" s="16">
        <f>IF($B1956="","",COUNTA($B$4:$B1956))</f>
        <v/>
      </c>
      <c r="B1956" s="71" t="n"/>
      <c r="C1956" s="44" t="n"/>
      <c r="D1956" s="45" t="n"/>
      <c r="E1956" s="45" t="n"/>
      <c r="F1956" s="45" t="n"/>
      <c r="G1956" s="45" t="n"/>
      <c r="H1956" s="45" t="n"/>
      <c r="I1956" s="45" t="n"/>
      <c r="J1956" s="38" t="n"/>
    </row>
    <row r="1957">
      <c r="A1957" s="16">
        <f>IF($B1957="","",COUNTA($B$4:$B1957))</f>
        <v/>
      </c>
      <c r="B1957" s="72" t="n"/>
      <c r="C1957" s="46" t="n"/>
      <c r="D1957" s="47" t="n"/>
      <c r="E1957" s="47" t="n"/>
      <c r="F1957" s="47" t="n"/>
      <c r="G1957" s="47" t="n"/>
      <c r="H1957" s="47" t="n"/>
      <c r="I1957" s="47" t="n"/>
      <c r="J1957" s="40" t="n"/>
    </row>
    <row r="1958">
      <c r="A1958" s="16">
        <f>IF($B1958="","",COUNTA($B$4:$B1958))</f>
        <v/>
      </c>
      <c r="B1958" s="71" t="n"/>
      <c r="C1958" s="44" t="n"/>
      <c r="D1958" s="45" t="n"/>
      <c r="E1958" s="45" t="n"/>
      <c r="F1958" s="45" t="n"/>
      <c r="G1958" s="45" t="n"/>
      <c r="H1958" s="45" t="n"/>
      <c r="I1958" s="45" t="n"/>
      <c r="J1958" s="38" t="n"/>
    </row>
    <row r="1959">
      <c r="A1959" s="16">
        <f>IF($B1959="","",COUNTA($B$4:$B1959))</f>
        <v/>
      </c>
      <c r="B1959" s="72" t="n"/>
      <c r="C1959" s="46" t="n"/>
      <c r="D1959" s="47" t="n"/>
      <c r="E1959" s="47" t="n"/>
      <c r="F1959" s="47" t="n"/>
      <c r="G1959" s="47" t="n"/>
      <c r="H1959" s="47" t="n"/>
      <c r="I1959" s="47" t="n"/>
      <c r="J1959" s="40" t="n"/>
    </row>
    <row r="1960">
      <c r="A1960" s="16">
        <f>IF($B1960="","",COUNTA($B$4:$B1960))</f>
        <v/>
      </c>
      <c r="B1960" s="71" t="n"/>
      <c r="C1960" s="44" t="n"/>
      <c r="D1960" s="45" t="n"/>
      <c r="E1960" s="45" t="n"/>
      <c r="F1960" s="45" t="n"/>
      <c r="G1960" s="45" t="n"/>
      <c r="H1960" s="45" t="n"/>
      <c r="I1960" s="45" t="n"/>
      <c r="J1960" s="38" t="n"/>
    </row>
    <row r="1961">
      <c r="A1961" s="16">
        <f>IF($B1961="","",COUNTA($B$4:$B1961))</f>
        <v/>
      </c>
      <c r="B1961" s="72" t="n"/>
      <c r="C1961" s="46" t="n"/>
      <c r="D1961" s="47" t="n"/>
      <c r="E1961" s="47" t="n"/>
      <c r="F1961" s="47" t="n"/>
      <c r="G1961" s="47" t="n"/>
      <c r="H1961" s="47" t="n"/>
      <c r="I1961" s="47" t="n"/>
      <c r="J1961" s="40" t="n"/>
    </row>
    <row r="1962">
      <c r="A1962" s="16">
        <f>IF($B1962="","",COUNTA($B$4:$B1962))</f>
        <v/>
      </c>
      <c r="B1962" s="71" t="n"/>
      <c r="C1962" s="44" t="n"/>
      <c r="D1962" s="45" t="n"/>
      <c r="E1962" s="45" t="n"/>
      <c r="F1962" s="45" t="n"/>
      <c r="G1962" s="45" t="n"/>
      <c r="H1962" s="45" t="n"/>
      <c r="I1962" s="45" t="n"/>
      <c r="J1962" s="38" t="n"/>
    </row>
    <row r="1963">
      <c r="A1963" s="16">
        <f>IF($B1963="","",COUNTA($B$4:$B1963))</f>
        <v/>
      </c>
      <c r="B1963" s="72" t="n"/>
      <c r="C1963" s="46" t="n"/>
      <c r="D1963" s="47" t="n"/>
      <c r="E1963" s="47" t="n"/>
      <c r="F1963" s="47" t="n"/>
      <c r="G1963" s="47" t="n"/>
      <c r="H1963" s="47" t="n"/>
      <c r="I1963" s="47" t="n"/>
      <c r="J1963" s="40" t="n"/>
    </row>
    <row r="1964">
      <c r="A1964" s="16">
        <f>IF($B1964="","",COUNTA($B$4:$B1964))</f>
        <v/>
      </c>
      <c r="B1964" s="71" t="n"/>
      <c r="C1964" s="44" t="n"/>
      <c r="D1964" s="45" t="n"/>
      <c r="E1964" s="45" t="n"/>
      <c r="F1964" s="45" t="n"/>
      <c r="G1964" s="45" t="n"/>
      <c r="H1964" s="45" t="n"/>
      <c r="I1964" s="45" t="n"/>
      <c r="J1964" s="38" t="n"/>
    </row>
    <row r="1965">
      <c r="A1965" s="16">
        <f>IF($B1965="","",COUNTA($B$4:$B1965))</f>
        <v/>
      </c>
      <c r="B1965" s="72" t="n"/>
      <c r="C1965" s="46" t="n"/>
      <c r="D1965" s="47" t="n"/>
      <c r="E1965" s="47" t="n"/>
      <c r="F1965" s="47" t="n"/>
      <c r="G1965" s="47" t="n"/>
      <c r="H1965" s="47" t="n"/>
      <c r="I1965" s="47" t="n"/>
      <c r="J1965" s="40" t="n"/>
    </row>
    <row r="1966">
      <c r="A1966" s="16">
        <f>IF($B1966="","",COUNTA($B$4:$B1966))</f>
        <v/>
      </c>
      <c r="B1966" s="71" t="n"/>
      <c r="C1966" s="44" t="n"/>
      <c r="D1966" s="45" t="n"/>
      <c r="E1966" s="45" t="n"/>
      <c r="F1966" s="45" t="n"/>
      <c r="G1966" s="45" t="n"/>
      <c r="H1966" s="45" t="n"/>
      <c r="I1966" s="45" t="n"/>
      <c r="J1966" s="38" t="n"/>
    </row>
    <row r="1967">
      <c r="A1967" s="16">
        <f>IF($B1967="","",COUNTA($B$4:$B1967))</f>
        <v/>
      </c>
      <c r="B1967" s="72" t="n"/>
      <c r="C1967" s="46" t="n"/>
      <c r="D1967" s="47" t="n"/>
      <c r="E1967" s="47" t="n"/>
      <c r="F1967" s="47" t="n"/>
      <c r="G1967" s="47" t="n"/>
      <c r="H1967" s="47" t="n"/>
      <c r="I1967" s="47" t="n"/>
      <c r="J1967" s="40" t="n"/>
    </row>
    <row r="1968">
      <c r="A1968" s="16">
        <f>IF($B1968="","",COUNTA($B$4:$B1968))</f>
        <v/>
      </c>
      <c r="B1968" s="71" t="n"/>
      <c r="C1968" s="44" t="n"/>
      <c r="D1968" s="45" t="n"/>
      <c r="E1968" s="45" t="n"/>
      <c r="F1968" s="45" t="n"/>
      <c r="G1968" s="45" t="n"/>
      <c r="H1968" s="45" t="n"/>
      <c r="I1968" s="45" t="n"/>
      <c r="J1968" s="38" t="n"/>
    </row>
    <row r="1969">
      <c r="A1969" s="16">
        <f>IF($B1969="","",COUNTA($B$4:$B1969))</f>
        <v/>
      </c>
      <c r="B1969" s="72" t="n"/>
      <c r="C1969" s="46" t="n"/>
      <c r="D1969" s="47" t="n"/>
      <c r="E1969" s="47" t="n"/>
      <c r="F1969" s="47" t="n"/>
      <c r="G1969" s="47" t="n"/>
      <c r="H1969" s="47" t="n"/>
      <c r="I1969" s="47" t="n"/>
      <c r="J1969" s="40" t="n"/>
    </row>
    <row r="1970">
      <c r="A1970" s="16">
        <f>IF($B1970="","",COUNTA($B$4:$B1970))</f>
        <v/>
      </c>
      <c r="B1970" s="71" t="n"/>
      <c r="C1970" s="44" t="n"/>
      <c r="D1970" s="45" t="n"/>
      <c r="E1970" s="45" t="n"/>
      <c r="F1970" s="45" t="n"/>
      <c r="G1970" s="45" t="n"/>
      <c r="H1970" s="45" t="n"/>
      <c r="I1970" s="45" t="n"/>
      <c r="J1970" s="38" t="n"/>
    </row>
    <row r="1971">
      <c r="A1971" s="16">
        <f>IF($B1971="","",COUNTA($B$4:$B1971))</f>
        <v/>
      </c>
      <c r="B1971" s="72" t="n"/>
      <c r="C1971" s="46" t="n"/>
      <c r="D1971" s="47" t="n"/>
      <c r="E1971" s="47" t="n"/>
      <c r="F1971" s="47" t="n"/>
      <c r="G1971" s="47" t="n"/>
      <c r="H1971" s="47" t="n"/>
      <c r="I1971" s="47" t="n"/>
      <c r="J1971" s="40" t="n"/>
    </row>
    <row r="1972">
      <c r="A1972" s="16">
        <f>IF($B1972="","",COUNTA($B$4:$B1972))</f>
        <v/>
      </c>
      <c r="B1972" s="71" t="n"/>
      <c r="C1972" s="44" t="n"/>
      <c r="D1972" s="45" t="n"/>
      <c r="E1972" s="45" t="n"/>
      <c r="F1972" s="45" t="n"/>
      <c r="G1972" s="45" t="n"/>
      <c r="H1972" s="45" t="n"/>
      <c r="I1972" s="45" t="n"/>
      <c r="J1972" s="38" t="n"/>
    </row>
    <row r="1973">
      <c r="A1973" s="16">
        <f>IF($B1973="","",COUNTA($B$4:$B1973))</f>
        <v/>
      </c>
      <c r="B1973" s="72" t="n"/>
      <c r="C1973" s="46" t="n"/>
      <c r="D1973" s="47" t="n"/>
      <c r="E1973" s="47" t="n"/>
      <c r="F1973" s="47" t="n"/>
      <c r="G1973" s="47" t="n"/>
      <c r="H1973" s="47" t="n"/>
      <c r="I1973" s="47" t="n"/>
      <c r="J1973" s="40" t="n"/>
    </row>
    <row r="1974">
      <c r="A1974" s="16">
        <f>IF($B1974="","",COUNTA($B$4:$B1974))</f>
        <v/>
      </c>
      <c r="B1974" s="71" t="n"/>
      <c r="C1974" s="44" t="n"/>
      <c r="D1974" s="45" t="n"/>
      <c r="E1974" s="45" t="n"/>
      <c r="F1974" s="45" t="n"/>
      <c r="G1974" s="45" t="n"/>
      <c r="H1974" s="45" t="n"/>
      <c r="I1974" s="45" t="n"/>
      <c r="J1974" s="38" t="n"/>
    </row>
    <row r="1975">
      <c r="A1975" s="16">
        <f>IF($B1975="","",COUNTA($B$4:$B1975))</f>
        <v/>
      </c>
      <c r="B1975" s="72" t="n"/>
      <c r="C1975" s="46" t="n"/>
      <c r="D1975" s="47" t="n"/>
      <c r="E1975" s="47" t="n"/>
      <c r="F1975" s="47" t="n"/>
      <c r="G1975" s="47" t="n"/>
      <c r="H1975" s="47" t="n"/>
      <c r="I1975" s="47" t="n"/>
      <c r="J1975" s="40" t="n"/>
    </row>
    <row r="1976">
      <c r="A1976" s="16">
        <f>IF($B1976="","",COUNTA($B$4:$B1976))</f>
        <v/>
      </c>
      <c r="B1976" s="71" t="n"/>
      <c r="C1976" s="44" t="n"/>
      <c r="D1976" s="45" t="n"/>
      <c r="E1976" s="45" t="n"/>
      <c r="F1976" s="45" t="n"/>
      <c r="G1976" s="45" t="n"/>
      <c r="H1976" s="45" t="n"/>
      <c r="I1976" s="45" t="n"/>
      <c r="J1976" s="38" t="n"/>
    </row>
    <row r="1977">
      <c r="A1977" s="16">
        <f>IF($B1977="","",COUNTA($B$4:$B1977))</f>
        <v/>
      </c>
      <c r="B1977" s="72" t="n"/>
      <c r="C1977" s="46" t="n"/>
      <c r="D1977" s="47" t="n"/>
      <c r="E1977" s="47" t="n"/>
      <c r="F1977" s="47" t="n"/>
      <c r="G1977" s="47" t="n"/>
      <c r="H1977" s="47" t="n"/>
      <c r="I1977" s="47" t="n"/>
      <c r="J1977" s="40" t="n"/>
    </row>
    <row r="1978">
      <c r="A1978" s="16">
        <f>IF($B1978="","",COUNTA($B$4:$B1978))</f>
        <v/>
      </c>
      <c r="B1978" s="71" t="n"/>
      <c r="C1978" s="44" t="n"/>
      <c r="D1978" s="45" t="n"/>
      <c r="E1978" s="45" t="n"/>
      <c r="F1978" s="45" t="n"/>
      <c r="G1978" s="45" t="n"/>
      <c r="H1978" s="45" t="n"/>
      <c r="I1978" s="45" t="n"/>
      <c r="J1978" s="38" t="n"/>
    </row>
    <row r="1979">
      <c r="A1979" s="16">
        <f>IF($B1979="","",COUNTA($B$4:$B1979))</f>
        <v/>
      </c>
      <c r="B1979" s="72" t="n"/>
      <c r="C1979" s="46" t="n"/>
      <c r="D1979" s="47" t="n"/>
      <c r="E1979" s="47" t="n"/>
      <c r="F1979" s="47" t="n"/>
      <c r="G1979" s="47" t="n"/>
      <c r="H1979" s="47" t="n"/>
      <c r="I1979" s="47" t="n"/>
      <c r="J1979" s="40" t="n"/>
    </row>
    <row r="1980">
      <c r="A1980" s="16">
        <f>IF($B1980="","",COUNTA($B$4:$B1980))</f>
        <v/>
      </c>
      <c r="B1980" s="71" t="n"/>
      <c r="C1980" s="44" t="n"/>
      <c r="D1980" s="45" t="n"/>
      <c r="E1980" s="45" t="n"/>
      <c r="F1980" s="45" t="n"/>
      <c r="G1980" s="45" t="n"/>
      <c r="H1980" s="45" t="n"/>
      <c r="I1980" s="45" t="n"/>
      <c r="J1980" s="38" t="n"/>
    </row>
    <row r="1981">
      <c r="A1981" s="16">
        <f>IF($B1981="","",COUNTA($B$4:$B1981))</f>
        <v/>
      </c>
      <c r="B1981" s="72" t="n"/>
      <c r="C1981" s="46" t="n"/>
      <c r="D1981" s="47" t="n"/>
      <c r="E1981" s="47" t="n"/>
      <c r="F1981" s="47" t="n"/>
      <c r="G1981" s="47" t="n"/>
      <c r="H1981" s="47" t="n"/>
      <c r="I1981" s="47" t="n"/>
      <c r="J1981" s="40" t="n"/>
    </row>
    <row r="1982">
      <c r="A1982" s="16">
        <f>IF($B1982="","",COUNTA($B$4:$B1982))</f>
        <v/>
      </c>
      <c r="B1982" s="71" t="n"/>
      <c r="C1982" s="44" t="n"/>
      <c r="D1982" s="45" t="n"/>
      <c r="E1982" s="45" t="n"/>
      <c r="F1982" s="45" t="n"/>
      <c r="G1982" s="45" t="n"/>
      <c r="H1982" s="45" t="n"/>
      <c r="I1982" s="45" t="n"/>
      <c r="J1982" s="38" t="n"/>
    </row>
    <row r="1983">
      <c r="A1983" s="16">
        <f>IF($B1983="","",COUNTA($B$4:$B1983))</f>
        <v/>
      </c>
      <c r="B1983" s="72" t="n"/>
      <c r="C1983" s="46" t="n"/>
      <c r="D1983" s="47" t="n"/>
      <c r="E1983" s="47" t="n"/>
      <c r="F1983" s="47" t="n"/>
      <c r="G1983" s="47" t="n"/>
      <c r="H1983" s="47" t="n"/>
      <c r="I1983" s="47" t="n"/>
      <c r="J1983" s="40" t="n"/>
    </row>
    <row r="1984">
      <c r="A1984" s="16">
        <f>IF($B1984="","",COUNTA($B$4:$B1984))</f>
        <v/>
      </c>
      <c r="B1984" s="71" t="n"/>
      <c r="C1984" s="44" t="n"/>
      <c r="D1984" s="45" t="n"/>
      <c r="E1984" s="45" t="n"/>
      <c r="F1984" s="45" t="n"/>
      <c r="G1984" s="45" t="n"/>
      <c r="H1984" s="45" t="n"/>
      <c r="I1984" s="45" t="n"/>
      <c r="J1984" s="38" t="n"/>
    </row>
    <row r="1985">
      <c r="A1985" s="16">
        <f>IF($B1985="","",COUNTA($B$4:$B1985))</f>
        <v/>
      </c>
      <c r="B1985" s="72" t="n"/>
      <c r="C1985" s="46" t="n"/>
      <c r="D1985" s="47" t="n"/>
      <c r="E1985" s="47" t="n"/>
      <c r="F1985" s="47" t="n"/>
      <c r="G1985" s="47" t="n"/>
      <c r="H1985" s="47" t="n"/>
      <c r="I1985" s="47" t="n"/>
      <c r="J1985" s="40" t="n"/>
    </row>
    <row r="1986">
      <c r="A1986" s="16">
        <f>IF($B1986="","",COUNTA($B$4:$B1986))</f>
        <v/>
      </c>
      <c r="B1986" s="71" t="n"/>
      <c r="C1986" s="44" t="n"/>
      <c r="D1986" s="45" t="n"/>
      <c r="E1986" s="45" t="n"/>
      <c r="F1986" s="45" t="n"/>
      <c r="G1986" s="45" t="n"/>
      <c r="H1986" s="45" t="n"/>
      <c r="I1986" s="45" t="n"/>
      <c r="J1986" s="38" t="n"/>
    </row>
    <row r="1987">
      <c r="A1987" s="16">
        <f>IF($B1987="","",COUNTA($B$4:$B1987))</f>
        <v/>
      </c>
      <c r="B1987" s="72" t="n"/>
      <c r="C1987" s="46" t="n"/>
      <c r="D1987" s="47" t="n"/>
      <c r="E1987" s="47" t="n"/>
      <c r="F1987" s="47" t="n"/>
      <c r="G1987" s="47" t="n"/>
      <c r="H1987" s="47" t="n"/>
      <c r="I1987" s="47" t="n"/>
      <c r="J1987" s="40" t="n"/>
    </row>
    <row r="1988">
      <c r="A1988" s="16">
        <f>IF($B1988="","",COUNTA($B$4:$B1988))</f>
        <v/>
      </c>
      <c r="B1988" s="71" t="n"/>
      <c r="C1988" s="44" t="n"/>
      <c r="D1988" s="45" t="n"/>
      <c r="E1988" s="45" t="n"/>
      <c r="F1988" s="45" t="n"/>
      <c r="G1988" s="45" t="n"/>
      <c r="H1988" s="45" t="n"/>
      <c r="I1988" s="45" t="n"/>
      <c r="J1988" s="38" t="n"/>
    </row>
    <row r="1989">
      <c r="A1989" s="16">
        <f>IF($B1989="","",COUNTA($B$4:$B1989))</f>
        <v/>
      </c>
      <c r="B1989" s="72" t="n"/>
      <c r="C1989" s="46" t="n"/>
      <c r="D1989" s="47" t="n"/>
      <c r="E1989" s="47" t="n"/>
      <c r="F1989" s="47" t="n"/>
      <c r="G1989" s="47" t="n"/>
      <c r="H1989" s="47" t="n"/>
      <c r="I1989" s="47" t="n"/>
      <c r="J1989" s="40" t="n"/>
    </row>
    <row r="1990">
      <c r="A1990" s="16">
        <f>IF($B1990="","",COUNTA($B$4:$B1990))</f>
        <v/>
      </c>
      <c r="B1990" s="71" t="n"/>
      <c r="C1990" s="44" t="n"/>
      <c r="D1990" s="45" t="n"/>
      <c r="E1990" s="45" t="n"/>
      <c r="F1990" s="45" t="n"/>
      <c r="G1990" s="45" t="n"/>
      <c r="H1990" s="45" t="n"/>
      <c r="I1990" s="45" t="n"/>
      <c r="J1990" s="38" t="n"/>
    </row>
    <row r="1991">
      <c r="A1991" s="16">
        <f>IF($B1991="","",COUNTA($B$4:$B1991))</f>
        <v/>
      </c>
      <c r="B1991" s="72" t="n"/>
      <c r="C1991" s="46" t="n"/>
      <c r="D1991" s="47" t="n"/>
      <c r="E1991" s="47" t="n"/>
      <c r="F1991" s="47" t="n"/>
      <c r="G1991" s="47" t="n"/>
      <c r="H1991" s="47" t="n"/>
      <c r="I1991" s="47" t="n"/>
      <c r="J1991" s="40" t="n"/>
    </row>
    <row r="1992">
      <c r="A1992" s="16">
        <f>IF($B1992="","",COUNTA($B$4:$B1992))</f>
        <v/>
      </c>
      <c r="B1992" s="71" t="n"/>
      <c r="C1992" s="44" t="n"/>
      <c r="D1992" s="45" t="n"/>
      <c r="E1992" s="45" t="n"/>
      <c r="F1992" s="45" t="n"/>
      <c r="G1992" s="45" t="n"/>
      <c r="H1992" s="45" t="n"/>
      <c r="I1992" s="45" t="n"/>
      <c r="J1992" s="38" t="n"/>
    </row>
    <row r="1993">
      <c r="A1993" s="16">
        <f>IF($B1993="","",COUNTA($B$4:$B1993))</f>
        <v/>
      </c>
      <c r="B1993" s="72" t="n"/>
      <c r="C1993" s="46" t="n"/>
      <c r="D1993" s="47" t="n"/>
      <c r="E1993" s="47" t="n"/>
      <c r="F1993" s="47" t="n"/>
      <c r="G1993" s="47" t="n"/>
      <c r="H1993" s="47" t="n"/>
      <c r="I1993" s="47" t="n"/>
      <c r="J1993" s="40" t="n"/>
    </row>
    <row r="1994">
      <c r="A1994" s="16">
        <f>IF($B1994="","",COUNTA($B$4:$B1994))</f>
        <v/>
      </c>
      <c r="B1994" s="71" t="n"/>
      <c r="C1994" s="44" t="n"/>
      <c r="D1994" s="45" t="n"/>
      <c r="E1994" s="45" t="n"/>
      <c r="F1994" s="45" t="n"/>
      <c r="G1994" s="45" t="n"/>
      <c r="H1994" s="45" t="n"/>
      <c r="I1994" s="45" t="n"/>
      <c r="J1994" s="38" t="n"/>
    </row>
    <row r="1995">
      <c r="A1995" s="16">
        <f>IF($B1995="","",COUNTA($B$4:$B1995))</f>
        <v/>
      </c>
      <c r="B1995" s="72" t="n"/>
      <c r="C1995" s="46" t="n"/>
      <c r="D1995" s="47" t="n"/>
      <c r="E1995" s="47" t="n"/>
      <c r="F1995" s="47" t="n"/>
      <c r="G1995" s="47" t="n"/>
      <c r="H1995" s="47" t="n"/>
      <c r="I1995" s="47" t="n"/>
      <c r="J1995" s="40" t="n"/>
    </row>
    <row r="1996">
      <c r="A1996" s="16">
        <f>IF($B1996="","",COUNTA($B$4:$B1996))</f>
        <v/>
      </c>
      <c r="B1996" s="71" t="n"/>
      <c r="C1996" s="44" t="n"/>
      <c r="D1996" s="45" t="n"/>
      <c r="E1996" s="45" t="n"/>
      <c r="F1996" s="45" t="n"/>
      <c r="G1996" s="45" t="n"/>
      <c r="H1996" s="45" t="n"/>
      <c r="I1996" s="45" t="n"/>
      <c r="J1996" s="38" t="n"/>
    </row>
    <row r="1997">
      <c r="A1997" s="16">
        <f>IF($B1997="","",COUNTA($B$4:$B1997))</f>
        <v/>
      </c>
      <c r="B1997" s="72" t="n"/>
      <c r="C1997" s="46" t="n"/>
      <c r="D1997" s="47" t="n"/>
      <c r="E1997" s="47" t="n"/>
      <c r="F1997" s="47" t="n"/>
      <c r="G1997" s="47" t="n"/>
      <c r="H1997" s="47" t="n"/>
      <c r="I1997" s="47" t="n"/>
      <c r="J1997" s="40" t="n"/>
    </row>
    <row r="1998">
      <c r="A1998" s="16">
        <f>IF($B1998="","",COUNTA($B$4:$B1998))</f>
        <v/>
      </c>
      <c r="B1998" s="71" t="n"/>
      <c r="C1998" s="44" t="n"/>
      <c r="D1998" s="45" t="n"/>
      <c r="E1998" s="45" t="n"/>
      <c r="F1998" s="45" t="n"/>
      <c r="G1998" s="45" t="n"/>
      <c r="H1998" s="45" t="n"/>
      <c r="I1998" s="45" t="n"/>
      <c r="J1998" s="38" t="n"/>
    </row>
    <row r="1999">
      <c r="A1999" s="16">
        <f>IF($B1999="","",COUNTA($B$4:$B1999))</f>
        <v/>
      </c>
      <c r="B1999" s="72" t="n"/>
      <c r="C1999" s="46" t="n"/>
      <c r="D1999" s="47" t="n"/>
      <c r="E1999" s="47" t="n"/>
      <c r="F1999" s="47" t="n"/>
      <c r="G1999" s="47" t="n"/>
      <c r="H1999" s="47" t="n"/>
      <c r="I1999" s="47" t="n"/>
      <c r="J1999" s="40" t="n"/>
    </row>
    <row r="2000">
      <c r="A2000" s="16">
        <f>IF($B2000="","",COUNTA($B$4:$B2000))</f>
        <v/>
      </c>
      <c r="B2000" s="71" t="n"/>
      <c r="C2000" s="44" t="n"/>
      <c r="D2000" s="45" t="n"/>
      <c r="E2000" s="45" t="n"/>
      <c r="F2000" s="45" t="n"/>
      <c r="G2000" s="45" t="n"/>
      <c r="H2000" s="45" t="n"/>
      <c r="I2000" s="45" t="n"/>
      <c r="J2000" s="38" t="n"/>
    </row>
    <row r="2001">
      <c r="A2001" s="16">
        <f>IF($B2001="","",COUNTA($B$4:$B2001))</f>
        <v/>
      </c>
      <c r="B2001" s="72" t="n"/>
      <c r="C2001" s="46" t="n"/>
      <c r="D2001" s="47" t="n"/>
      <c r="E2001" s="47" t="n"/>
      <c r="F2001" s="47" t="n"/>
      <c r="G2001" s="47" t="n"/>
      <c r="H2001" s="47" t="n"/>
      <c r="I2001" s="47" t="n"/>
      <c r="J2001" s="40" t="n"/>
    </row>
    <row r="2002">
      <c r="A2002" s="16">
        <f>IF($B2002="","",COUNTA($B$4:$B2002))</f>
        <v/>
      </c>
      <c r="B2002" s="71" t="n"/>
      <c r="C2002" s="44" t="n"/>
      <c r="D2002" s="45" t="n"/>
      <c r="E2002" s="45" t="n"/>
      <c r="F2002" s="45" t="n"/>
      <c r="G2002" s="45" t="n"/>
      <c r="H2002" s="45" t="n"/>
      <c r="I2002" s="45" t="n"/>
      <c r="J2002" s="38" t="n"/>
    </row>
    <row r="2003">
      <c r="A2003" s="16">
        <f>IF($B2003="","",COUNTA($B$4:$B2003))</f>
        <v/>
      </c>
      <c r="B2003" s="72" t="n"/>
      <c r="C2003" s="46" t="n"/>
      <c r="D2003" s="47" t="n"/>
      <c r="E2003" s="47" t="n"/>
      <c r="F2003" s="47" t="n"/>
      <c r="G2003" s="47" t="n"/>
      <c r="H2003" s="47" t="n"/>
      <c r="I2003" s="47" t="n"/>
      <c r="J2003" s="40" t="n"/>
    </row>
    <row r="2004">
      <c r="A2004" s="41" t="n"/>
      <c r="B2004" s="41" t="inlineStr">
        <is>
          <t>الإجماليات</t>
        </is>
      </c>
      <c r="C2004" s="48">
        <f>SUM($C$4:$C$2003)</f>
        <v/>
      </c>
      <c r="D2004" s="41" t="n"/>
      <c r="E2004" s="41" t="n"/>
      <c r="F2004" s="41" t="n"/>
      <c r="G2004" s="41" t="n"/>
      <c r="H2004" s="41" t="n"/>
      <c r="I2004" s="41" t="n"/>
      <c r="J2004" s="42">
        <f>SUM($J$4:$J$2003)</f>
        <v/>
      </c>
    </row>
  </sheetData>
  <autoFilter ref="A3:J2003"/>
  <mergeCells count="2">
    <mergeCell ref="A1:J1"/>
    <mergeCell ref="A2:J2"/>
  </mergeCells>
  <dataValidations count="6">
    <dataValidation sqref="D4:D2003" showDropDown="0" showInputMessage="0" showErrorMessage="0" allowBlank="1" errorTitle="تنبيه" error="غير موجود في القائمة — تقدر تكمل، أو أضِفه في صفحة الإعدادات" promptTitle="" prompt="اختر من القائمة" type="list" errorStyle="warning">
      <formula1>=قائمة_شركات_الشحن</formula1>
    </dataValidation>
    <dataValidation sqref="E4:E2003" showDropDown="0" showInputMessage="0" showErrorMessage="0" allowBlank="1" errorTitle="تنبيه" error="غير موجود في القائمة — تقدر تكمل، أو أضِفه في صفحة الإعدادات" promptTitle="" prompt="اختر من القائمة" type="list" errorStyle="warning">
      <formula1>=قائمة_الشركات</formula1>
    </dataValidation>
    <dataValidation sqref="F4:F2003" showDropDown="0" showInputMessage="0" showErrorMessage="0" allowBlank="1" errorTitle="تنبيه" error="غير موجود في القائمة — تقدر تكمل، أو أضِفه في صفحة الإعدادات" promptTitle="" prompt="اختر من القائمة" type="list" errorStyle="warning">
      <formula1>=قائمة_الجهات</formula1>
    </dataValidation>
    <dataValidation sqref="G4:G2003" showDropDown="0" showInputMessage="0" showErrorMessage="0" allowBlank="1" errorTitle="تنبيه" error="غير موجود في القائمة — تقدر تكمل، أو أضِفه في صفحة الإعدادات" promptTitle="" prompt="اختر من القائمة" type="list" errorStyle="warning">
      <formula1>=قائمة_التوكيلات</formula1>
    </dataValidation>
    <dataValidation sqref="H4:H2003" showDropDown="0" showInputMessage="0" showErrorMessage="0" allowBlank="1" errorTitle="تنبيه" error="غير موجود في القائمة — تقدر تكمل، أو أضِفه في صفحة الإعدادات" promptTitle="" prompt="اختر من القائمة" type="list" errorStyle="warning">
      <formula1>=قائمة_الموانئ</formula1>
    </dataValidation>
    <dataValidation sqref="I4:I2003" showDropDown="0" showInputMessage="0" showErrorMessage="0" allowBlank="1" errorTitle="تنبيه" error="غير موجود في القائمة — تقدر تكمل، أو أضِفه في صفحة الإعدادات" promptTitle="" prompt="اختر من القائمة" type="list" errorStyle="warning">
      <formula1>=قائمة_الملاك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4746F"/>
    <outlinePr summaryBelow="1" summaryRight="1"/>
    <pageSetUpPr fitToPage="1"/>
  </sheetPr>
  <dimension ref="A1:F20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26" customWidth="1" min="4" max="4"/>
    <col width="14" customWidth="1" min="5" max="5"/>
    <col width="14" customWidth="1" min="6" max="6"/>
  </cols>
  <sheetData>
    <row r="1" ht="34" customHeight="1">
      <c r="A1" s="1" t="inlineStr">
        <is>
          <t>شركة المتوكل  —  الإيصالات</t>
        </is>
      </c>
    </row>
    <row r="2" ht="20" customHeight="1">
      <c r="A2" s="3" t="inlineStr">
        <is>
          <t>سجل مستمر لكل الإيصالات — يوماً بعد يوم</t>
        </is>
      </c>
    </row>
    <row r="3" ht="38" customHeight="1">
      <c r="A3" s="31" t="inlineStr">
        <is>
          <t>م</t>
        </is>
      </c>
      <c r="B3" s="31" t="inlineStr">
        <is>
          <t>التاريخ</t>
        </is>
      </c>
      <c r="C3" s="36" t="inlineStr">
        <is>
          <t>المبلغ</t>
        </is>
      </c>
      <c r="D3" s="43" t="inlineStr">
        <is>
          <t>البيان / الجهة</t>
        </is>
      </c>
    </row>
    <row r="4">
      <c r="A4" s="16">
        <f>IF($B4="","",COUNTA($B$4:$B4))</f>
        <v/>
      </c>
      <c r="B4" s="71" t="n"/>
      <c r="C4" s="38" t="n"/>
      <c r="D4" s="45" t="n"/>
      <c r="E4" s="45" t="n"/>
      <c r="F4" s="45" t="n"/>
    </row>
    <row r="5">
      <c r="A5" s="16">
        <f>IF($B5="","",COUNTA($B$4:$B5))</f>
        <v/>
      </c>
      <c r="B5" s="72" t="n"/>
      <c r="C5" s="40" t="n"/>
      <c r="D5" s="47" t="n"/>
      <c r="E5" s="47" t="n"/>
      <c r="F5" s="47" t="n"/>
    </row>
    <row r="6">
      <c r="A6" s="16">
        <f>IF($B6="","",COUNTA($B$4:$B6))</f>
        <v/>
      </c>
      <c r="B6" s="71" t="n"/>
      <c r="C6" s="38" t="n"/>
      <c r="D6" s="45" t="n"/>
      <c r="E6" s="45" t="n"/>
      <c r="F6" s="45" t="n"/>
    </row>
    <row r="7">
      <c r="A7" s="16">
        <f>IF($B7="","",COUNTA($B$4:$B7))</f>
        <v/>
      </c>
      <c r="B7" s="72" t="n"/>
      <c r="C7" s="40" t="n"/>
      <c r="D7" s="47" t="n"/>
      <c r="E7" s="47" t="n"/>
      <c r="F7" s="47" t="n"/>
    </row>
    <row r="8">
      <c r="A8" s="16">
        <f>IF($B8="","",COUNTA($B$4:$B8))</f>
        <v/>
      </c>
      <c r="B8" s="71" t="n"/>
      <c r="C8" s="38" t="n"/>
      <c r="D8" s="45" t="n"/>
      <c r="E8" s="45" t="n"/>
      <c r="F8" s="45" t="n"/>
    </row>
    <row r="9">
      <c r="A9" s="16">
        <f>IF($B9="","",COUNTA($B$4:$B9))</f>
        <v/>
      </c>
      <c r="B9" s="72" t="n"/>
      <c r="C9" s="40" t="n"/>
      <c r="D9" s="47" t="n"/>
      <c r="E9" s="47" t="n"/>
      <c r="F9" s="47" t="n"/>
    </row>
    <row r="10">
      <c r="A10" s="16">
        <f>IF($B10="","",COUNTA($B$4:$B10))</f>
        <v/>
      </c>
      <c r="B10" s="71" t="n"/>
      <c r="C10" s="38" t="n"/>
      <c r="D10" s="45" t="n"/>
      <c r="E10" s="45" t="n"/>
      <c r="F10" s="45" t="n"/>
    </row>
    <row r="11">
      <c r="A11" s="16">
        <f>IF($B11="","",COUNTA($B$4:$B11))</f>
        <v/>
      </c>
      <c r="B11" s="72" t="n"/>
      <c r="C11" s="40" t="n"/>
      <c r="D11" s="47" t="n"/>
      <c r="E11" s="47" t="n"/>
      <c r="F11" s="47" t="n"/>
    </row>
    <row r="12">
      <c r="A12" s="16">
        <f>IF($B12="","",COUNTA($B$4:$B12))</f>
        <v/>
      </c>
      <c r="B12" s="71" t="n"/>
      <c r="C12" s="38" t="n"/>
      <c r="D12" s="45" t="n"/>
      <c r="E12" s="45" t="n"/>
      <c r="F12" s="45" t="n"/>
    </row>
    <row r="13">
      <c r="A13" s="16">
        <f>IF($B13="","",COUNTA($B$4:$B13))</f>
        <v/>
      </c>
      <c r="B13" s="72" t="n"/>
      <c r="C13" s="40" t="n"/>
      <c r="D13" s="47" t="n"/>
      <c r="E13" s="47" t="n"/>
      <c r="F13" s="47" t="n"/>
    </row>
    <row r="14">
      <c r="A14" s="16">
        <f>IF($B14="","",COUNTA($B$4:$B14))</f>
        <v/>
      </c>
      <c r="B14" s="71" t="n"/>
      <c r="C14" s="38" t="n"/>
      <c r="D14" s="45" t="n"/>
      <c r="E14" s="45" t="n"/>
      <c r="F14" s="45" t="n"/>
    </row>
    <row r="15">
      <c r="A15" s="16">
        <f>IF($B15="","",COUNTA($B$4:$B15))</f>
        <v/>
      </c>
      <c r="B15" s="72" t="n"/>
      <c r="C15" s="40" t="n"/>
      <c r="D15" s="47" t="n"/>
      <c r="E15" s="47" t="n"/>
      <c r="F15" s="47" t="n"/>
    </row>
    <row r="16">
      <c r="A16" s="16">
        <f>IF($B16="","",COUNTA($B$4:$B16))</f>
        <v/>
      </c>
      <c r="B16" s="71" t="n"/>
      <c r="C16" s="38" t="n"/>
      <c r="D16" s="45" t="n"/>
      <c r="E16" s="45" t="n"/>
      <c r="F16" s="45" t="n"/>
    </row>
    <row r="17">
      <c r="A17" s="16">
        <f>IF($B17="","",COUNTA($B$4:$B17))</f>
        <v/>
      </c>
      <c r="B17" s="72" t="n"/>
      <c r="C17" s="40" t="n"/>
      <c r="D17" s="47" t="n"/>
      <c r="E17" s="47" t="n"/>
      <c r="F17" s="47" t="n"/>
    </row>
    <row r="18">
      <c r="A18" s="16">
        <f>IF($B18="","",COUNTA($B$4:$B18))</f>
        <v/>
      </c>
      <c r="B18" s="71" t="n"/>
      <c r="C18" s="38" t="n"/>
      <c r="D18" s="45" t="n"/>
      <c r="E18" s="45" t="n"/>
      <c r="F18" s="45" t="n"/>
    </row>
    <row r="19">
      <c r="A19" s="16">
        <f>IF($B19="","",COUNTA($B$4:$B19))</f>
        <v/>
      </c>
      <c r="B19" s="72" t="n"/>
      <c r="C19" s="40" t="n"/>
      <c r="D19" s="47" t="n"/>
      <c r="E19" s="47" t="n"/>
      <c r="F19" s="47" t="n"/>
    </row>
    <row r="20">
      <c r="A20" s="16">
        <f>IF($B20="","",COUNTA($B$4:$B20))</f>
        <v/>
      </c>
      <c r="B20" s="71" t="n"/>
      <c r="C20" s="38" t="n"/>
      <c r="D20" s="45" t="n"/>
      <c r="E20" s="45" t="n"/>
      <c r="F20" s="45" t="n"/>
    </row>
    <row r="21">
      <c r="A21" s="16">
        <f>IF($B21="","",COUNTA($B$4:$B21))</f>
        <v/>
      </c>
      <c r="B21" s="72" t="n"/>
      <c r="C21" s="40" t="n"/>
      <c r="D21" s="47" t="n"/>
      <c r="E21" s="47" t="n"/>
      <c r="F21" s="47" t="n"/>
    </row>
    <row r="22">
      <c r="A22" s="16">
        <f>IF($B22="","",COUNTA($B$4:$B22))</f>
        <v/>
      </c>
      <c r="B22" s="71" t="n"/>
      <c r="C22" s="38" t="n"/>
      <c r="D22" s="45" t="n"/>
      <c r="E22" s="45" t="n"/>
      <c r="F22" s="45" t="n"/>
    </row>
    <row r="23">
      <c r="A23" s="16">
        <f>IF($B23="","",COUNTA($B$4:$B23))</f>
        <v/>
      </c>
      <c r="B23" s="72" t="n"/>
      <c r="C23" s="40" t="n"/>
      <c r="D23" s="47" t="n"/>
      <c r="E23" s="47" t="n"/>
      <c r="F23" s="47" t="n"/>
    </row>
    <row r="24">
      <c r="A24" s="16">
        <f>IF($B24="","",COUNTA($B$4:$B24))</f>
        <v/>
      </c>
      <c r="B24" s="71" t="n"/>
      <c r="C24" s="38" t="n"/>
      <c r="D24" s="45" t="n"/>
      <c r="E24" s="45" t="n"/>
      <c r="F24" s="45" t="n"/>
    </row>
    <row r="25">
      <c r="A25" s="16">
        <f>IF($B25="","",COUNTA($B$4:$B25))</f>
        <v/>
      </c>
      <c r="B25" s="72" t="n"/>
      <c r="C25" s="40" t="n"/>
      <c r="D25" s="47" t="n"/>
      <c r="E25" s="47" t="n"/>
      <c r="F25" s="47" t="n"/>
    </row>
    <row r="26">
      <c r="A26" s="16">
        <f>IF($B26="","",COUNTA($B$4:$B26))</f>
        <v/>
      </c>
      <c r="B26" s="71" t="n"/>
      <c r="C26" s="38" t="n"/>
      <c r="D26" s="45" t="n"/>
      <c r="E26" s="45" t="n"/>
      <c r="F26" s="45" t="n"/>
    </row>
    <row r="27">
      <c r="A27" s="16">
        <f>IF($B27="","",COUNTA($B$4:$B27))</f>
        <v/>
      </c>
      <c r="B27" s="72" t="n"/>
      <c r="C27" s="40" t="n"/>
      <c r="D27" s="47" t="n"/>
      <c r="E27" s="47" t="n"/>
      <c r="F27" s="47" t="n"/>
    </row>
    <row r="28">
      <c r="A28" s="16">
        <f>IF($B28="","",COUNTA($B$4:$B28))</f>
        <v/>
      </c>
      <c r="B28" s="71" t="n"/>
      <c r="C28" s="38" t="n"/>
      <c r="D28" s="45" t="n"/>
      <c r="E28" s="45" t="n"/>
      <c r="F28" s="45" t="n"/>
    </row>
    <row r="29">
      <c r="A29" s="16">
        <f>IF($B29="","",COUNTA($B$4:$B29))</f>
        <v/>
      </c>
      <c r="B29" s="72" t="n"/>
      <c r="C29" s="40" t="n"/>
      <c r="D29" s="47" t="n"/>
      <c r="E29" s="47" t="n"/>
      <c r="F29" s="47" t="n"/>
    </row>
    <row r="30">
      <c r="A30" s="16">
        <f>IF($B30="","",COUNTA($B$4:$B30))</f>
        <v/>
      </c>
      <c r="B30" s="71" t="n"/>
      <c r="C30" s="38" t="n"/>
      <c r="D30" s="45" t="n"/>
      <c r="E30" s="45" t="n"/>
      <c r="F30" s="45" t="n"/>
    </row>
    <row r="31">
      <c r="A31" s="16">
        <f>IF($B31="","",COUNTA($B$4:$B31))</f>
        <v/>
      </c>
      <c r="B31" s="72" t="n"/>
      <c r="C31" s="40" t="n"/>
      <c r="D31" s="47" t="n"/>
      <c r="E31" s="47" t="n"/>
      <c r="F31" s="47" t="n"/>
    </row>
    <row r="32">
      <c r="A32" s="16">
        <f>IF($B32="","",COUNTA($B$4:$B32))</f>
        <v/>
      </c>
      <c r="B32" s="71" t="n"/>
      <c r="C32" s="38" t="n"/>
      <c r="D32" s="45" t="n"/>
      <c r="E32" s="45" t="n"/>
      <c r="F32" s="45" t="n"/>
    </row>
    <row r="33">
      <c r="A33" s="16">
        <f>IF($B33="","",COUNTA($B$4:$B33))</f>
        <v/>
      </c>
      <c r="B33" s="72" t="n"/>
      <c r="C33" s="40" t="n"/>
      <c r="D33" s="47" t="n"/>
      <c r="E33" s="47" t="n"/>
      <c r="F33" s="47" t="n"/>
    </row>
    <row r="34">
      <c r="A34" s="16">
        <f>IF($B34="","",COUNTA($B$4:$B34))</f>
        <v/>
      </c>
      <c r="B34" s="71" t="n"/>
      <c r="C34" s="38" t="n"/>
      <c r="D34" s="45" t="n"/>
      <c r="E34" s="45" t="n"/>
      <c r="F34" s="45" t="n"/>
    </row>
    <row r="35">
      <c r="A35" s="16">
        <f>IF($B35="","",COUNTA($B$4:$B35))</f>
        <v/>
      </c>
      <c r="B35" s="72" t="n"/>
      <c r="C35" s="40" t="n"/>
      <c r="D35" s="47" t="n"/>
      <c r="E35" s="47" t="n"/>
      <c r="F35" s="47" t="n"/>
    </row>
    <row r="36">
      <c r="A36" s="16">
        <f>IF($B36="","",COUNTA($B$4:$B36))</f>
        <v/>
      </c>
      <c r="B36" s="71" t="n"/>
      <c r="C36" s="38" t="n"/>
      <c r="D36" s="45" t="n"/>
      <c r="E36" s="45" t="n"/>
      <c r="F36" s="45" t="n"/>
    </row>
    <row r="37">
      <c r="A37" s="16">
        <f>IF($B37="","",COUNTA($B$4:$B37))</f>
        <v/>
      </c>
      <c r="B37" s="72" t="n"/>
      <c r="C37" s="40" t="n"/>
      <c r="D37" s="47" t="n"/>
      <c r="E37" s="47" t="n"/>
      <c r="F37" s="47" t="n"/>
    </row>
    <row r="38">
      <c r="A38" s="16">
        <f>IF($B38="","",COUNTA($B$4:$B38))</f>
        <v/>
      </c>
      <c r="B38" s="71" t="n"/>
      <c r="C38" s="38" t="n"/>
      <c r="D38" s="45" t="n"/>
      <c r="E38" s="45" t="n"/>
      <c r="F38" s="45" t="n"/>
    </row>
    <row r="39">
      <c r="A39" s="16">
        <f>IF($B39="","",COUNTA($B$4:$B39))</f>
        <v/>
      </c>
      <c r="B39" s="72" t="n"/>
      <c r="C39" s="40" t="n"/>
      <c r="D39" s="47" t="n"/>
      <c r="E39" s="47" t="n"/>
      <c r="F39" s="47" t="n"/>
    </row>
    <row r="40">
      <c r="A40" s="16">
        <f>IF($B40="","",COUNTA($B$4:$B40))</f>
        <v/>
      </c>
      <c r="B40" s="71" t="n"/>
      <c r="C40" s="38" t="n"/>
      <c r="D40" s="45" t="n"/>
      <c r="E40" s="45" t="n"/>
      <c r="F40" s="45" t="n"/>
    </row>
    <row r="41">
      <c r="A41" s="16">
        <f>IF($B41="","",COUNTA($B$4:$B41))</f>
        <v/>
      </c>
      <c r="B41" s="72" t="n"/>
      <c r="C41" s="40" t="n"/>
      <c r="D41" s="47" t="n"/>
      <c r="E41" s="47" t="n"/>
      <c r="F41" s="47" t="n"/>
    </row>
    <row r="42">
      <c r="A42" s="16">
        <f>IF($B42="","",COUNTA($B$4:$B42))</f>
        <v/>
      </c>
      <c r="B42" s="71" t="n"/>
      <c r="C42" s="38" t="n"/>
      <c r="D42" s="45" t="n"/>
      <c r="E42" s="45" t="n"/>
      <c r="F42" s="45" t="n"/>
    </row>
    <row r="43">
      <c r="A43" s="16">
        <f>IF($B43="","",COUNTA($B$4:$B43))</f>
        <v/>
      </c>
      <c r="B43" s="72" t="n"/>
      <c r="C43" s="40" t="n"/>
      <c r="D43" s="47" t="n"/>
      <c r="E43" s="47" t="n"/>
      <c r="F43" s="47" t="n"/>
    </row>
    <row r="44">
      <c r="A44" s="16">
        <f>IF($B44="","",COUNTA($B$4:$B44))</f>
        <v/>
      </c>
      <c r="B44" s="71" t="n"/>
      <c r="C44" s="38" t="n"/>
      <c r="D44" s="45" t="n"/>
      <c r="E44" s="45" t="n"/>
      <c r="F44" s="45" t="n"/>
    </row>
    <row r="45">
      <c r="A45" s="16">
        <f>IF($B45="","",COUNTA($B$4:$B45))</f>
        <v/>
      </c>
      <c r="B45" s="72" t="n"/>
      <c r="C45" s="40" t="n"/>
      <c r="D45" s="47" t="n"/>
      <c r="E45" s="47" t="n"/>
      <c r="F45" s="47" t="n"/>
    </row>
    <row r="46">
      <c r="A46" s="16">
        <f>IF($B46="","",COUNTA($B$4:$B46))</f>
        <v/>
      </c>
      <c r="B46" s="71" t="n"/>
      <c r="C46" s="38" t="n"/>
      <c r="D46" s="45" t="n"/>
      <c r="E46" s="45" t="n"/>
      <c r="F46" s="45" t="n"/>
    </row>
    <row r="47">
      <c r="A47" s="16">
        <f>IF($B47="","",COUNTA($B$4:$B47))</f>
        <v/>
      </c>
      <c r="B47" s="72" t="n"/>
      <c r="C47" s="40" t="n"/>
      <c r="D47" s="47" t="n"/>
      <c r="E47" s="47" t="n"/>
      <c r="F47" s="47" t="n"/>
    </row>
    <row r="48">
      <c r="A48" s="16">
        <f>IF($B48="","",COUNTA($B$4:$B48))</f>
        <v/>
      </c>
      <c r="B48" s="71" t="n"/>
      <c r="C48" s="38" t="n"/>
      <c r="D48" s="45" t="n"/>
      <c r="E48" s="45" t="n"/>
      <c r="F48" s="45" t="n"/>
    </row>
    <row r="49">
      <c r="A49" s="16">
        <f>IF($B49="","",COUNTA($B$4:$B49))</f>
        <v/>
      </c>
      <c r="B49" s="72" t="n"/>
      <c r="C49" s="40" t="n"/>
      <c r="D49" s="47" t="n"/>
      <c r="E49" s="47" t="n"/>
      <c r="F49" s="47" t="n"/>
    </row>
    <row r="50">
      <c r="A50" s="16">
        <f>IF($B50="","",COUNTA($B$4:$B50))</f>
        <v/>
      </c>
      <c r="B50" s="71" t="n"/>
      <c r="C50" s="38" t="n"/>
      <c r="D50" s="45" t="n"/>
      <c r="E50" s="45" t="n"/>
      <c r="F50" s="45" t="n"/>
    </row>
    <row r="51">
      <c r="A51" s="16">
        <f>IF($B51="","",COUNTA($B$4:$B51))</f>
        <v/>
      </c>
      <c r="B51" s="72" t="n"/>
      <c r="C51" s="40" t="n"/>
      <c r="D51" s="47" t="n"/>
      <c r="E51" s="47" t="n"/>
      <c r="F51" s="47" t="n"/>
    </row>
    <row r="52">
      <c r="A52" s="16">
        <f>IF($B52="","",COUNTA($B$4:$B52))</f>
        <v/>
      </c>
      <c r="B52" s="71" t="n"/>
      <c r="C52" s="38" t="n"/>
      <c r="D52" s="45" t="n"/>
      <c r="E52" s="45" t="n"/>
      <c r="F52" s="45" t="n"/>
    </row>
    <row r="53">
      <c r="A53" s="16">
        <f>IF($B53="","",COUNTA($B$4:$B53))</f>
        <v/>
      </c>
      <c r="B53" s="72" t="n"/>
      <c r="C53" s="40" t="n"/>
      <c r="D53" s="47" t="n"/>
      <c r="E53" s="47" t="n"/>
      <c r="F53" s="47" t="n"/>
    </row>
    <row r="54">
      <c r="A54" s="16">
        <f>IF($B54="","",COUNTA($B$4:$B54))</f>
        <v/>
      </c>
      <c r="B54" s="71" t="n"/>
      <c r="C54" s="38" t="n"/>
      <c r="D54" s="45" t="n"/>
      <c r="E54" s="45" t="n"/>
      <c r="F54" s="45" t="n"/>
    </row>
    <row r="55">
      <c r="A55" s="16">
        <f>IF($B55="","",COUNTA($B$4:$B55))</f>
        <v/>
      </c>
      <c r="B55" s="72" t="n"/>
      <c r="C55" s="40" t="n"/>
      <c r="D55" s="47" t="n"/>
      <c r="E55" s="47" t="n"/>
      <c r="F55" s="47" t="n"/>
    </row>
    <row r="56">
      <c r="A56" s="16">
        <f>IF($B56="","",COUNTA($B$4:$B56))</f>
        <v/>
      </c>
      <c r="B56" s="71" t="n"/>
      <c r="C56" s="38" t="n"/>
      <c r="D56" s="45" t="n"/>
      <c r="E56" s="45" t="n"/>
      <c r="F56" s="45" t="n"/>
    </row>
    <row r="57">
      <c r="A57" s="16">
        <f>IF($B57="","",COUNTA($B$4:$B57))</f>
        <v/>
      </c>
      <c r="B57" s="72" t="n"/>
      <c r="C57" s="40" t="n"/>
      <c r="D57" s="47" t="n"/>
      <c r="E57" s="47" t="n"/>
      <c r="F57" s="47" t="n"/>
    </row>
    <row r="58">
      <c r="A58" s="16">
        <f>IF($B58="","",COUNTA($B$4:$B58))</f>
        <v/>
      </c>
      <c r="B58" s="71" t="n"/>
      <c r="C58" s="38" t="n"/>
      <c r="D58" s="45" t="n"/>
      <c r="E58" s="45" t="n"/>
      <c r="F58" s="45" t="n"/>
    </row>
    <row r="59">
      <c r="A59" s="16">
        <f>IF($B59="","",COUNTA($B$4:$B59))</f>
        <v/>
      </c>
      <c r="B59" s="72" t="n"/>
      <c r="C59" s="40" t="n"/>
      <c r="D59" s="47" t="n"/>
      <c r="E59" s="47" t="n"/>
      <c r="F59" s="47" t="n"/>
    </row>
    <row r="60">
      <c r="A60" s="16">
        <f>IF($B60="","",COUNTA($B$4:$B60))</f>
        <v/>
      </c>
      <c r="B60" s="71" t="n"/>
      <c r="C60" s="38" t="n"/>
      <c r="D60" s="45" t="n"/>
      <c r="E60" s="45" t="n"/>
      <c r="F60" s="45" t="n"/>
    </row>
    <row r="61">
      <c r="A61" s="16">
        <f>IF($B61="","",COUNTA($B$4:$B61))</f>
        <v/>
      </c>
      <c r="B61" s="72" t="n"/>
      <c r="C61" s="40" t="n"/>
      <c r="D61" s="47" t="n"/>
      <c r="E61" s="47" t="n"/>
      <c r="F61" s="47" t="n"/>
    </row>
    <row r="62">
      <c r="A62" s="16">
        <f>IF($B62="","",COUNTA($B$4:$B62))</f>
        <v/>
      </c>
      <c r="B62" s="71" t="n"/>
      <c r="C62" s="38" t="n"/>
      <c r="D62" s="45" t="n"/>
      <c r="E62" s="45" t="n"/>
      <c r="F62" s="45" t="n"/>
    </row>
    <row r="63">
      <c r="A63" s="16">
        <f>IF($B63="","",COUNTA($B$4:$B63))</f>
        <v/>
      </c>
      <c r="B63" s="72" t="n"/>
      <c r="C63" s="40" t="n"/>
      <c r="D63" s="47" t="n"/>
      <c r="E63" s="47" t="n"/>
      <c r="F63" s="47" t="n"/>
    </row>
    <row r="64">
      <c r="A64" s="16">
        <f>IF($B64="","",COUNTA($B$4:$B64))</f>
        <v/>
      </c>
      <c r="B64" s="71" t="n"/>
      <c r="C64" s="38" t="n"/>
      <c r="D64" s="45" t="n"/>
      <c r="E64" s="45" t="n"/>
      <c r="F64" s="45" t="n"/>
    </row>
    <row r="65">
      <c r="A65" s="16">
        <f>IF($B65="","",COUNTA($B$4:$B65))</f>
        <v/>
      </c>
      <c r="B65" s="72" t="n"/>
      <c r="C65" s="40" t="n"/>
      <c r="D65" s="47" t="n"/>
      <c r="E65" s="47" t="n"/>
      <c r="F65" s="47" t="n"/>
    </row>
    <row r="66">
      <c r="A66" s="16">
        <f>IF($B66="","",COUNTA($B$4:$B66))</f>
        <v/>
      </c>
      <c r="B66" s="71" t="n"/>
      <c r="C66" s="38" t="n"/>
      <c r="D66" s="45" t="n"/>
      <c r="E66" s="45" t="n"/>
      <c r="F66" s="45" t="n"/>
    </row>
    <row r="67">
      <c r="A67" s="16">
        <f>IF($B67="","",COUNTA($B$4:$B67))</f>
        <v/>
      </c>
      <c r="B67" s="72" t="n"/>
      <c r="C67" s="40" t="n"/>
      <c r="D67" s="47" t="n"/>
      <c r="E67" s="47" t="n"/>
      <c r="F67" s="47" t="n"/>
    </row>
    <row r="68">
      <c r="A68" s="16">
        <f>IF($B68="","",COUNTA($B$4:$B68))</f>
        <v/>
      </c>
      <c r="B68" s="71" t="n"/>
      <c r="C68" s="38" t="n"/>
      <c r="D68" s="45" t="n"/>
      <c r="E68" s="45" t="n"/>
      <c r="F68" s="45" t="n"/>
    </row>
    <row r="69">
      <c r="A69" s="16">
        <f>IF($B69="","",COUNTA($B$4:$B69))</f>
        <v/>
      </c>
      <c r="B69" s="72" t="n"/>
      <c r="C69" s="40" t="n"/>
      <c r="D69" s="47" t="n"/>
      <c r="E69" s="47" t="n"/>
      <c r="F69" s="47" t="n"/>
    </row>
    <row r="70">
      <c r="A70" s="16">
        <f>IF($B70="","",COUNTA($B$4:$B70))</f>
        <v/>
      </c>
      <c r="B70" s="71" t="n"/>
      <c r="C70" s="38" t="n"/>
      <c r="D70" s="45" t="n"/>
      <c r="E70" s="45" t="n"/>
      <c r="F70" s="45" t="n"/>
    </row>
    <row r="71">
      <c r="A71" s="16">
        <f>IF($B71="","",COUNTA($B$4:$B71))</f>
        <v/>
      </c>
      <c r="B71" s="72" t="n"/>
      <c r="C71" s="40" t="n"/>
      <c r="D71" s="47" t="n"/>
      <c r="E71" s="47" t="n"/>
      <c r="F71" s="47" t="n"/>
    </row>
    <row r="72">
      <c r="A72" s="16">
        <f>IF($B72="","",COUNTA($B$4:$B72))</f>
        <v/>
      </c>
      <c r="B72" s="71" t="n"/>
      <c r="C72" s="38" t="n"/>
      <c r="D72" s="45" t="n"/>
      <c r="E72" s="45" t="n"/>
      <c r="F72" s="45" t="n"/>
    </row>
    <row r="73">
      <c r="A73" s="16">
        <f>IF($B73="","",COUNTA($B$4:$B73))</f>
        <v/>
      </c>
      <c r="B73" s="72" t="n"/>
      <c r="C73" s="40" t="n"/>
      <c r="D73" s="47" t="n"/>
      <c r="E73" s="47" t="n"/>
      <c r="F73" s="47" t="n"/>
    </row>
    <row r="74">
      <c r="A74" s="16">
        <f>IF($B74="","",COUNTA($B$4:$B74))</f>
        <v/>
      </c>
      <c r="B74" s="71" t="n"/>
      <c r="C74" s="38" t="n"/>
      <c r="D74" s="45" t="n"/>
      <c r="E74" s="45" t="n"/>
      <c r="F74" s="45" t="n"/>
    </row>
    <row r="75">
      <c r="A75" s="16">
        <f>IF($B75="","",COUNTA($B$4:$B75))</f>
        <v/>
      </c>
      <c r="B75" s="72" t="n"/>
      <c r="C75" s="40" t="n"/>
      <c r="D75" s="47" t="n"/>
      <c r="E75" s="47" t="n"/>
      <c r="F75" s="47" t="n"/>
    </row>
    <row r="76">
      <c r="A76" s="16">
        <f>IF($B76="","",COUNTA($B$4:$B76))</f>
        <v/>
      </c>
      <c r="B76" s="71" t="n"/>
      <c r="C76" s="38" t="n"/>
      <c r="D76" s="45" t="n"/>
      <c r="E76" s="45" t="n"/>
      <c r="F76" s="45" t="n"/>
    </row>
    <row r="77">
      <c r="A77" s="16">
        <f>IF($B77="","",COUNTA($B$4:$B77))</f>
        <v/>
      </c>
      <c r="B77" s="72" t="n"/>
      <c r="C77" s="40" t="n"/>
      <c r="D77" s="47" t="n"/>
      <c r="E77" s="47" t="n"/>
      <c r="F77" s="47" t="n"/>
    </row>
    <row r="78">
      <c r="A78" s="16">
        <f>IF($B78="","",COUNTA($B$4:$B78))</f>
        <v/>
      </c>
      <c r="B78" s="71" t="n"/>
      <c r="C78" s="38" t="n"/>
      <c r="D78" s="45" t="n"/>
      <c r="E78" s="45" t="n"/>
      <c r="F78" s="45" t="n"/>
    </row>
    <row r="79">
      <c r="A79" s="16">
        <f>IF($B79="","",COUNTA($B$4:$B79))</f>
        <v/>
      </c>
      <c r="B79" s="72" t="n"/>
      <c r="C79" s="40" t="n"/>
      <c r="D79" s="47" t="n"/>
      <c r="E79" s="47" t="n"/>
      <c r="F79" s="47" t="n"/>
    </row>
    <row r="80">
      <c r="A80" s="16">
        <f>IF($B80="","",COUNTA($B$4:$B80))</f>
        <v/>
      </c>
      <c r="B80" s="71" t="n"/>
      <c r="C80" s="38" t="n"/>
      <c r="D80" s="45" t="n"/>
      <c r="E80" s="45" t="n"/>
      <c r="F80" s="45" t="n"/>
    </row>
    <row r="81">
      <c r="A81" s="16">
        <f>IF($B81="","",COUNTA($B$4:$B81))</f>
        <v/>
      </c>
      <c r="B81" s="72" t="n"/>
      <c r="C81" s="40" t="n"/>
      <c r="D81" s="47" t="n"/>
      <c r="E81" s="47" t="n"/>
      <c r="F81" s="47" t="n"/>
    </row>
    <row r="82">
      <c r="A82" s="16">
        <f>IF($B82="","",COUNTA($B$4:$B82))</f>
        <v/>
      </c>
      <c r="B82" s="71" t="n"/>
      <c r="C82" s="38" t="n"/>
      <c r="D82" s="45" t="n"/>
      <c r="E82" s="45" t="n"/>
      <c r="F82" s="45" t="n"/>
    </row>
    <row r="83">
      <c r="A83" s="16">
        <f>IF($B83="","",COUNTA($B$4:$B83))</f>
        <v/>
      </c>
      <c r="B83" s="72" t="n"/>
      <c r="C83" s="40" t="n"/>
      <c r="D83" s="47" t="n"/>
      <c r="E83" s="47" t="n"/>
      <c r="F83" s="47" t="n"/>
    </row>
    <row r="84">
      <c r="A84" s="16">
        <f>IF($B84="","",COUNTA($B$4:$B84))</f>
        <v/>
      </c>
      <c r="B84" s="71" t="n"/>
      <c r="C84" s="38" t="n"/>
      <c r="D84" s="45" t="n"/>
      <c r="E84" s="45" t="n"/>
      <c r="F84" s="45" t="n"/>
    </row>
    <row r="85">
      <c r="A85" s="16">
        <f>IF($B85="","",COUNTA($B$4:$B85))</f>
        <v/>
      </c>
      <c r="B85" s="72" t="n"/>
      <c r="C85" s="40" t="n"/>
      <c r="D85" s="47" t="n"/>
      <c r="E85" s="47" t="n"/>
      <c r="F85" s="47" t="n"/>
    </row>
    <row r="86">
      <c r="A86" s="16">
        <f>IF($B86="","",COUNTA($B$4:$B86))</f>
        <v/>
      </c>
      <c r="B86" s="71" t="n"/>
      <c r="C86" s="38" t="n"/>
      <c r="D86" s="45" t="n"/>
      <c r="E86" s="45" t="n"/>
      <c r="F86" s="45" t="n"/>
    </row>
    <row r="87">
      <c r="A87" s="16">
        <f>IF($B87="","",COUNTA($B$4:$B87))</f>
        <v/>
      </c>
      <c r="B87" s="72" t="n"/>
      <c r="C87" s="40" t="n"/>
      <c r="D87" s="47" t="n"/>
      <c r="E87" s="47" t="n"/>
      <c r="F87" s="47" t="n"/>
    </row>
    <row r="88">
      <c r="A88" s="16">
        <f>IF($B88="","",COUNTA($B$4:$B88))</f>
        <v/>
      </c>
      <c r="B88" s="71" t="n"/>
      <c r="C88" s="38" t="n"/>
      <c r="D88" s="45" t="n"/>
      <c r="E88" s="45" t="n"/>
      <c r="F88" s="45" t="n"/>
    </row>
    <row r="89">
      <c r="A89" s="16">
        <f>IF($B89="","",COUNTA($B$4:$B89))</f>
        <v/>
      </c>
      <c r="B89" s="72" t="n"/>
      <c r="C89" s="40" t="n"/>
      <c r="D89" s="47" t="n"/>
      <c r="E89" s="47" t="n"/>
      <c r="F89" s="47" t="n"/>
    </row>
    <row r="90">
      <c r="A90" s="16">
        <f>IF($B90="","",COUNTA($B$4:$B90))</f>
        <v/>
      </c>
      <c r="B90" s="71" t="n"/>
      <c r="C90" s="38" t="n"/>
      <c r="D90" s="45" t="n"/>
      <c r="E90" s="45" t="n"/>
      <c r="F90" s="45" t="n"/>
    </row>
    <row r="91">
      <c r="A91" s="16">
        <f>IF($B91="","",COUNTA($B$4:$B91))</f>
        <v/>
      </c>
      <c r="B91" s="72" t="n"/>
      <c r="C91" s="40" t="n"/>
      <c r="D91" s="47" t="n"/>
      <c r="E91" s="47" t="n"/>
      <c r="F91" s="47" t="n"/>
    </row>
    <row r="92">
      <c r="A92" s="16">
        <f>IF($B92="","",COUNTA($B$4:$B92))</f>
        <v/>
      </c>
      <c r="B92" s="71" t="n"/>
      <c r="C92" s="38" t="n"/>
      <c r="D92" s="45" t="n"/>
      <c r="E92" s="45" t="n"/>
      <c r="F92" s="45" t="n"/>
    </row>
    <row r="93">
      <c r="A93" s="16">
        <f>IF($B93="","",COUNTA($B$4:$B93))</f>
        <v/>
      </c>
      <c r="B93" s="72" t="n"/>
      <c r="C93" s="40" t="n"/>
      <c r="D93" s="47" t="n"/>
      <c r="E93" s="47" t="n"/>
      <c r="F93" s="47" t="n"/>
    </row>
    <row r="94">
      <c r="A94" s="16">
        <f>IF($B94="","",COUNTA($B$4:$B94))</f>
        <v/>
      </c>
      <c r="B94" s="71" t="n"/>
      <c r="C94" s="38" t="n"/>
      <c r="D94" s="45" t="n"/>
      <c r="E94" s="45" t="n"/>
      <c r="F94" s="45" t="n"/>
    </row>
    <row r="95">
      <c r="A95" s="16">
        <f>IF($B95="","",COUNTA($B$4:$B95))</f>
        <v/>
      </c>
      <c r="B95" s="72" t="n"/>
      <c r="C95" s="40" t="n"/>
      <c r="D95" s="47" t="n"/>
      <c r="E95" s="47" t="n"/>
      <c r="F95" s="47" t="n"/>
    </row>
    <row r="96">
      <c r="A96" s="16">
        <f>IF($B96="","",COUNTA($B$4:$B96))</f>
        <v/>
      </c>
      <c r="B96" s="71" t="n"/>
      <c r="C96" s="38" t="n"/>
      <c r="D96" s="45" t="n"/>
      <c r="E96" s="45" t="n"/>
      <c r="F96" s="45" t="n"/>
    </row>
    <row r="97">
      <c r="A97" s="16">
        <f>IF($B97="","",COUNTA($B$4:$B97))</f>
        <v/>
      </c>
      <c r="B97" s="72" t="n"/>
      <c r="C97" s="40" t="n"/>
      <c r="D97" s="47" t="n"/>
      <c r="E97" s="47" t="n"/>
      <c r="F97" s="47" t="n"/>
    </row>
    <row r="98">
      <c r="A98" s="16">
        <f>IF($B98="","",COUNTA($B$4:$B98))</f>
        <v/>
      </c>
      <c r="B98" s="71" t="n"/>
      <c r="C98" s="38" t="n"/>
      <c r="D98" s="45" t="n"/>
      <c r="E98" s="45" t="n"/>
      <c r="F98" s="45" t="n"/>
    </row>
    <row r="99">
      <c r="A99" s="16">
        <f>IF($B99="","",COUNTA($B$4:$B99))</f>
        <v/>
      </c>
      <c r="B99" s="72" t="n"/>
      <c r="C99" s="40" t="n"/>
      <c r="D99" s="47" t="n"/>
      <c r="E99" s="47" t="n"/>
      <c r="F99" s="47" t="n"/>
    </row>
    <row r="100">
      <c r="A100" s="16">
        <f>IF($B100="","",COUNTA($B$4:$B100))</f>
        <v/>
      </c>
      <c r="B100" s="71" t="n"/>
      <c r="C100" s="38" t="n"/>
      <c r="D100" s="45" t="n"/>
      <c r="E100" s="45" t="n"/>
      <c r="F100" s="45" t="n"/>
    </row>
    <row r="101">
      <c r="A101" s="16">
        <f>IF($B101="","",COUNTA($B$4:$B101))</f>
        <v/>
      </c>
      <c r="B101" s="72" t="n"/>
      <c r="C101" s="40" t="n"/>
      <c r="D101" s="47" t="n"/>
      <c r="E101" s="47" t="n"/>
      <c r="F101" s="47" t="n"/>
    </row>
    <row r="102">
      <c r="A102" s="16">
        <f>IF($B102="","",COUNTA($B$4:$B102))</f>
        <v/>
      </c>
      <c r="B102" s="71" t="n"/>
      <c r="C102" s="38" t="n"/>
      <c r="D102" s="45" t="n"/>
      <c r="E102" s="45" t="n"/>
      <c r="F102" s="45" t="n"/>
    </row>
    <row r="103">
      <c r="A103" s="16">
        <f>IF($B103="","",COUNTA($B$4:$B103))</f>
        <v/>
      </c>
      <c r="B103" s="72" t="n"/>
      <c r="C103" s="40" t="n"/>
      <c r="D103" s="47" t="n"/>
      <c r="E103" s="47" t="n"/>
      <c r="F103" s="47" t="n"/>
    </row>
    <row r="104">
      <c r="A104" s="16">
        <f>IF($B104="","",COUNTA($B$4:$B104))</f>
        <v/>
      </c>
      <c r="B104" s="71" t="n"/>
      <c r="C104" s="38" t="n"/>
      <c r="D104" s="45" t="n"/>
      <c r="E104" s="45" t="n"/>
      <c r="F104" s="45" t="n"/>
    </row>
    <row r="105">
      <c r="A105" s="16">
        <f>IF($B105="","",COUNTA($B$4:$B105))</f>
        <v/>
      </c>
      <c r="B105" s="72" t="n"/>
      <c r="C105" s="40" t="n"/>
      <c r="D105" s="47" t="n"/>
      <c r="E105" s="47" t="n"/>
      <c r="F105" s="47" t="n"/>
    </row>
    <row r="106">
      <c r="A106" s="16">
        <f>IF($B106="","",COUNTA($B$4:$B106))</f>
        <v/>
      </c>
      <c r="B106" s="71" t="n"/>
      <c r="C106" s="38" t="n"/>
      <c r="D106" s="45" t="n"/>
      <c r="E106" s="45" t="n"/>
      <c r="F106" s="45" t="n"/>
    </row>
    <row r="107">
      <c r="A107" s="16">
        <f>IF($B107="","",COUNTA($B$4:$B107))</f>
        <v/>
      </c>
      <c r="B107" s="72" t="n"/>
      <c r="C107" s="40" t="n"/>
      <c r="D107" s="47" t="n"/>
      <c r="E107" s="47" t="n"/>
      <c r="F107" s="47" t="n"/>
    </row>
    <row r="108">
      <c r="A108" s="16">
        <f>IF($B108="","",COUNTA($B$4:$B108))</f>
        <v/>
      </c>
      <c r="B108" s="71" t="n"/>
      <c r="C108" s="38" t="n"/>
      <c r="D108" s="45" t="n"/>
      <c r="E108" s="45" t="n"/>
      <c r="F108" s="45" t="n"/>
    </row>
    <row r="109">
      <c r="A109" s="16">
        <f>IF($B109="","",COUNTA($B$4:$B109))</f>
        <v/>
      </c>
      <c r="B109" s="72" t="n"/>
      <c r="C109" s="40" t="n"/>
      <c r="D109" s="47" t="n"/>
      <c r="E109" s="47" t="n"/>
      <c r="F109" s="47" t="n"/>
    </row>
    <row r="110">
      <c r="A110" s="16">
        <f>IF($B110="","",COUNTA($B$4:$B110))</f>
        <v/>
      </c>
      <c r="B110" s="71" t="n"/>
      <c r="C110" s="38" t="n"/>
      <c r="D110" s="45" t="n"/>
      <c r="E110" s="45" t="n"/>
      <c r="F110" s="45" t="n"/>
    </row>
    <row r="111">
      <c r="A111" s="16">
        <f>IF($B111="","",COUNTA($B$4:$B111))</f>
        <v/>
      </c>
      <c r="B111" s="72" t="n"/>
      <c r="C111" s="40" t="n"/>
      <c r="D111" s="47" t="n"/>
      <c r="E111" s="47" t="n"/>
      <c r="F111" s="47" t="n"/>
    </row>
    <row r="112">
      <c r="A112" s="16">
        <f>IF($B112="","",COUNTA($B$4:$B112))</f>
        <v/>
      </c>
      <c r="B112" s="71" t="n"/>
      <c r="C112" s="38" t="n"/>
      <c r="D112" s="45" t="n"/>
      <c r="E112" s="45" t="n"/>
      <c r="F112" s="45" t="n"/>
    </row>
    <row r="113">
      <c r="A113" s="16">
        <f>IF($B113="","",COUNTA($B$4:$B113))</f>
        <v/>
      </c>
      <c r="B113" s="72" t="n"/>
      <c r="C113" s="40" t="n"/>
      <c r="D113" s="47" t="n"/>
      <c r="E113" s="47" t="n"/>
      <c r="F113" s="47" t="n"/>
    </row>
    <row r="114">
      <c r="A114" s="16">
        <f>IF($B114="","",COUNTA($B$4:$B114))</f>
        <v/>
      </c>
      <c r="B114" s="71" t="n"/>
      <c r="C114" s="38" t="n"/>
      <c r="D114" s="45" t="n"/>
      <c r="E114" s="45" t="n"/>
      <c r="F114" s="45" t="n"/>
    </row>
    <row r="115">
      <c r="A115" s="16">
        <f>IF($B115="","",COUNTA($B$4:$B115))</f>
        <v/>
      </c>
      <c r="B115" s="72" t="n"/>
      <c r="C115" s="40" t="n"/>
      <c r="D115" s="47" t="n"/>
      <c r="E115" s="47" t="n"/>
      <c r="F115" s="47" t="n"/>
    </row>
    <row r="116">
      <c r="A116" s="16">
        <f>IF($B116="","",COUNTA($B$4:$B116))</f>
        <v/>
      </c>
      <c r="B116" s="71" t="n"/>
      <c r="C116" s="38" t="n"/>
      <c r="D116" s="45" t="n"/>
      <c r="E116" s="45" t="n"/>
      <c r="F116" s="45" t="n"/>
    </row>
    <row r="117">
      <c r="A117" s="16">
        <f>IF($B117="","",COUNTA($B$4:$B117))</f>
        <v/>
      </c>
      <c r="B117" s="72" t="n"/>
      <c r="C117" s="40" t="n"/>
      <c r="D117" s="47" t="n"/>
      <c r="E117" s="47" t="n"/>
      <c r="F117" s="47" t="n"/>
    </row>
    <row r="118">
      <c r="A118" s="16">
        <f>IF($B118="","",COUNTA($B$4:$B118))</f>
        <v/>
      </c>
      <c r="B118" s="71" t="n"/>
      <c r="C118" s="38" t="n"/>
      <c r="D118" s="45" t="n"/>
      <c r="E118" s="45" t="n"/>
      <c r="F118" s="45" t="n"/>
    </row>
    <row r="119">
      <c r="A119" s="16">
        <f>IF($B119="","",COUNTA($B$4:$B119))</f>
        <v/>
      </c>
      <c r="B119" s="72" t="n"/>
      <c r="C119" s="40" t="n"/>
      <c r="D119" s="47" t="n"/>
      <c r="E119" s="47" t="n"/>
      <c r="F119" s="47" t="n"/>
    </row>
    <row r="120">
      <c r="A120" s="16">
        <f>IF($B120="","",COUNTA($B$4:$B120))</f>
        <v/>
      </c>
      <c r="B120" s="71" t="n"/>
      <c r="C120" s="38" t="n"/>
      <c r="D120" s="45" t="n"/>
      <c r="E120" s="45" t="n"/>
      <c r="F120" s="45" t="n"/>
    </row>
    <row r="121">
      <c r="A121" s="16">
        <f>IF($B121="","",COUNTA($B$4:$B121))</f>
        <v/>
      </c>
      <c r="B121" s="72" t="n"/>
      <c r="C121" s="40" t="n"/>
      <c r="D121" s="47" t="n"/>
      <c r="E121" s="47" t="n"/>
      <c r="F121" s="47" t="n"/>
    </row>
    <row r="122">
      <c r="A122" s="16">
        <f>IF($B122="","",COUNTA($B$4:$B122))</f>
        <v/>
      </c>
      <c r="B122" s="71" t="n"/>
      <c r="C122" s="38" t="n"/>
      <c r="D122" s="45" t="n"/>
      <c r="E122" s="45" t="n"/>
      <c r="F122" s="45" t="n"/>
    </row>
    <row r="123">
      <c r="A123" s="16">
        <f>IF($B123="","",COUNTA($B$4:$B123))</f>
        <v/>
      </c>
      <c r="B123" s="72" t="n"/>
      <c r="C123" s="40" t="n"/>
      <c r="D123" s="47" t="n"/>
      <c r="E123" s="47" t="n"/>
      <c r="F123" s="47" t="n"/>
    </row>
    <row r="124">
      <c r="A124" s="16">
        <f>IF($B124="","",COUNTA($B$4:$B124))</f>
        <v/>
      </c>
      <c r="B124" s="71" t="n"/>
      <c r="C124" s="38" t="n"/>
      <c r="D124" s="45" t="n"/>
      <c r="E124" s="45" t="n"/>
      <c r="F124" s="45" t="n"/>
    </row>
    <row r="125">
      <c r="A125" s="16">
        <f>IF($B125="","",COUNTA($B$4:$B125))</f>
        <v/>
      </c>
      <c r="B125" s="72" t="n"/>
      <c r="C125" s="40" t="n"/>
      <c r="D125" s="47" t="n"/>
      <c r="E125" s="47" t="n"/>
      <c r="F125" s="47" t="n"/>
    </row>
    <row r="126">
      <c r="A126" s="16">
        <f>IF($B126="","",COUNTA($B$4:$B126))</f>
        <v/>
      </c>
      <c r="B126" s="71" t="n"/>
      <c r="C126" s="38" t="n"/>
      <c r="D126" s="45" t="n"/>
      <c r="E126" s="45" t="n"/>
      <c r="F126" s="45" t="n"/>
    </row>
    <row r="127">
      <c r="A127" s="16">
        <f>IF($B127="","",COUNTA($B$4:$B127))</f>
        <v/>
      </c>
      <c r="B127" s="72" t="n"/>
      <c r="C127" s="40" t="n"/>
      <c r="D127" s="47" t="n"/>
      <c r="E127" s="47" t="n"/>
      <c r="F127" s="47" t="n"/>
    </row>
    <row r="128">
      <c r="A128" s="16">
        <f>IF($B128="","",COUNTA($B$4:$B128))</f>
        <v/>
      </c>
      <c r="B128" s="71" t="n"/>
      <c r="C128" s="38" t="n"/>
      <c r="D128" s="45" t="n"/>
      <c r="E128" s="45" t="n"/>
      <c r="F128" s="45" t="n"/>
    </row>
    <row r="129">
      <c r="A129" s="16">
        <f>IF($B129="","",COUNTA($B$4:$B129))</f>
        <v/>
      </c>
      <c r="B129" s="72" t="n"/>
      <c r="C129" s="40" t="n"/>
      <c r="D129" s="47" t="n"/>
      <c r="E129" s="47" t="n"/>
      <c r="F129" s="47" t="n"/>
    </row>
    <row r="130">
      <c r="A130" s="16">
        <f>IF($B130="","",COUNTA($B$4:$B130))</f>
        <v/>
      </c>
      <c r="B130" s="71" t="n"/>
      <c r="C130" s="38" t="n"/>
      <c r="D130" s="45" t="n"/>
      <c r="E130" s="45" t="n"/>
      <c r="F130" s="45" t="n"/>
    </row>
    <row r="131">
      <c r="A131" s="16">
        <f>IF($B131="","",COUNTA($B$4:$B131))</f>
        <v/>
      </c>
      <c r="B131" s="72" t="n"/>
      <c r="C131" s="40" t="n"/>
      <c r="D131" s="47" t="n"/>
      <c r="E131" s="47" t="n"/>
      <c r="F131" s="47" t="n"/>
    </row>
    <row r="132">
      <c r="A132" s="16">
        <f>IF($B132="","",COUNTA($B$4:$B132))</f>
        <v/>
      </c>
      <c r="B132" s="71" t="n"/>
      <c r="C132" s="38" t="n"/>
      <c r="D132" s="45" t="n"/>
      <c r="E132" s="45" t="n"/>
      <c r="F132" s="45" t="n"/>
    </row>
    <row r="133">
      <c r="A133" s="16">
        <f>IF($B133="","",COUNTA($B$4:$B133))</f>
        <v/>
      </c>
      <c r="B133" s="72" t="n"/>
      <c r="C133" s="40" t="n"/>
      <c r="D133" s="47" t="n"/>
      <c r="E133" s="47" t="n"/>
      <c r="F133" s="47" t="n"/>
    </row>
    <row r="134">
      <c r="A134" s="16">
        <f>IF($B134="","",COUNTA($B$4:$B134))</f>
        <v/>
      </c>
      <c r="B134" s="71" t="n"/>
      <c r="C134" s="38" t="n"/>
      <c r="D134" s="45" t="n"/>
      <c r="E134" s="45" t="n"/>
      <c r="F134" s="45" t="n"/>
    </row>
    <row r="135">
      <c r="A135" s="16">
        <f>IF($B135="","",COUNTA($B$4:$B135))</f>
        <v/>
      </c>
      <c r="B135" s="72" t="n"/>
      <c r="C135" s="40" t="n"/>
      <c r="D135" s="47" t="n"/>
      <c r="E135" s="47" t="n"/>
      <c r="F135" s="47" t="n"/>
    </row>
    <row r="136">
      <c r="A136" s="16">
        <f>IF($B136="","",COUNTA($B$4:$B136))</f>
        <v/>
      </c>
      <c r="B136" s="71" t="n"/>
      <c r="C136" s="38" t="n"/>
      <c r="D136" s="45" t="n"/>
      <c r="E136" s="45" t="n"/>
      <c r="F136" s="45" t="n"/>
    </row>
    <row r="137">
      <c r="A137" s="16">
        <f>IF($B137="","",COUNTA($B$4:$B137))</f>
        <v/>
      </c>
      <c r="B137" s="72" t="n"/>
      <c r="C137" s="40" t="n"/>
      <c r="D137" s="47" t="n"/>
      <c r="E137" s="47" t="n"/>
      <c r="F137" s="47" t="n"/>
    </row>
    <row r="138">
      <c r="A138" s="16">
        <f>IF($B138="","",COUNTA($B$4:$B138))</f>
        <v/>
      </c>
      <c r="B138" s="71" t="n"/>
      <c r="C138" s="38" t="n"/>
      <c r="D138" s="45" t="n"/>
      <c r="E138" s="45" t="n"/>
      <c r="F138" s="45" t="n"/>
    </row>
    <row r="139">
      <c r="A139" s="16">
        <f>IF($B139="","",COUNTA($B$4:$B139))</f>
        <v/>
      </c>
      <c r="B139" s="72" t="n"/>
      <c r="C139" s="40" t="n"/>
      <c r="D139" s="47" t="n"/>
      <c r="E139" s="47" t="n"/>
      <c r="F139" s="47" t="n"/>
    </row>
    <row r="140">
      <c r="A140" s="16">
        <f>IF($B140="","",COUNTA($B$4:$B140))</f>
        <v/>
      </c>
      <c r="B140" s="71" t="n"/>
      <c r="C140" s="38" t="n"/>
      <c r="D140" s="45" t="n"/>
      <c r="E140" s="45" t="n"/>
      <c r="F140" s="45" t="n"/>
    </row>
    <row r="141">
      <c r="A141" s="16">
        <f>IF($B141="","",COUNTA($B$4:$B141))</f>
        <v/>
      </c>
      <c r="B141" s="72" t="n"/>
      <c r="C141" s="40" t="n"/>
      <c r="D141" s="47" t="n"/>
      <c r="E141" s="47" t="n"/>
      <c r="F141" s="47" t="n"/>
    </row>
    <row r="142">
      <c r="A142" s="16">
        <f>IF($B142="","",COUNTA($B$4:$B142))</f>
        <v/>
      </c>
      <c r="B142" s="71" t="n"/>
      <c r="C142" s="38" t="n"/>
      <c r="D142" s="45" t="n"/>
      <c r="E142" s="45" t="n"/>
      <c r="F142" s="45" t="n"/>
    </row>
    <row r="143">
      <c r="A143" s="16">
        <f>IF($B143="","",COUNTA($B$4:$B143))</f>
        <v/>
      </c>
      <c r="B143" s="72" t="n"/>
      <c r="C143" s="40" t="n"/>
      <c r="D143" s="47" t="n"/>
      <c r="E143" s="47" t="n"/>
      <c r="F143" s="47" t="n"/>
    </row>
    <row r="144">
      <c r="A144" s="16">
        <f>IF($B144="","",COUNTA($B$4:$B144))</f>
        <v/>
      </c>
      <c r="B144" s="71" t="n"/>
      <c r="C144" s="38" t="n"/>
      <c r="D144" s="45" t="n"/>
      <c r="E144" s="45" t="n"/>
      <c r="F144" s="45" t="n"/>
    </row>
    <row r="145">
      <c r="A145" s="16">
        <f>IF($B145="","",COUNTA($B$4:$B145))</f>
        <v/>
      </c>
      <c r="B145" s="72" t="n"/>
      <c r="C145" s="40" t="n"/>
      <c r="D145" s="47" t="n"/>
      <c r="E145" s="47" t="n"/>
      <c r="F145" s="47" t="n"/>
    </row>
    <row r="146">
      <c r="A146" s="16">
        <f>IF($B146="","",COUNTA($B$4:$B146))</f>
        <v/>
      </c>
      <c r="B146" s="71" t="n"/>
      <c r="C146" s="38" t="n"/>
      <c r="D146" s="45" t="n"/>
      <c r="E146" s="45" t="n"/>
      <c r="F146" s="45" t="n"/>
    </row>
    <row r="147">
      <c r="A147" s="16">
        <f>IF($B147="","",COUNTA($B$4:$B147))</f>
        <v/>
      </c>
      <c r="B147" s="72" t="n"/>
      <c r="C147" s="40" t="n"/>
      <c r="D147" s="47" t="n"/>
      <c r="E147" s="47" t="n"/>
      <c r="F147" s="47" t="n"/>
    </row>
    <row r="148">
      <c r="A148" s="16">
        <f>IF($B148="","",COUNTA($B$4:$B148))</f>
        <v/>
      </c>
      <c r="B148" s="71" t="n"/>
      <c r="C148" s="38" t="n"/>
      <c r="D148" s="45" t="n"/>
      <c r="E148" s="45" t="n"/>
      <c r="F148" s="45" t="n"/>
    </row>
    <row r="149">
      <c r="A149" s="16">
        <f>IF($B149="","",COUNTA($B$4:$B149))</f>
        <v/>
      </c>
      <c r="B149" s="72" t="n"/>
      <c r="C149" s="40" t="n"/>
      <c r="D149" s="47" t="n"/>
      <c r="E149" s="47" t="n"/>
      <c r="F149" s="47" t="n"/>
    </row>
    <row r="150">
      <c r="A150" s="16">
        <f>IF($B150="","",COUNTA($B$4:$B150))</f>
        <v/>
      </c>
      <c r="B150" s="71" t="n"/>
      <c r="C150" s="38" t="n"/>
      <c r="D150" s="45" t="n"/>
      <c r="E150" s="45" t="n"/>
      <c r="F150" s="45" t="n"/>
    </row>
    <row r="151">
      <c r="A151" s="16">
        <f>IF($B151="","",COUNTA($B$4:$B151))</f>
        <v/>
      </c>
      <c r="B151" s="72" t="n"/>
      <c r="C151" s="40" t="n"/>
      <c r="D151" s="47" t="n"/>
      <c r="E151" s="47" t="n"/>
      <c r="F151" s="47" t="n"/>
    </row>
    <row r="152">
      <c r="A152" s="16">
        <f>IF($B152="","",COUNTA($B$4:$B152))</f>
        <v/>
      </c>
      <c r="B152" s="71" t="n"/>
      <c r="C152" s="38" t="n"/>
      <c r="D152" s="45" t="n"/>
      <c r="E152" s="45" t="n"/>
      <c r="F152" s="45" t="n"/>
    </row>
    <row r="153">
      <c r="A153" s="16">
        <f>IF($B153="","",COUNTA($B$4:$B153))</f>
        <v/>
      </c>
      <c r="B153" s="72" t="n"/>
      <c r="C153" s="40" t="n"/>
      <c r="D153" s="47" t="n"/>
      <c r="E153" s="47" t="n"/>
      <c r="F153" s="47" t="n"/>
    </row>
    <row r="154">
      <c r="A154" s="16">
        <f>IF($B154="","",COUNTA($B$4:$B154))</f>
        <v/>
      </c>
      <c r="B154" s="71" t="n"/>
      <c r="C154" s="38" t="n"/>
      <c r="D154" s="45" t="n"/>
      <c r="E154" s="45" t="n"/>
      <c r="F154" s="45" t="n"/>
    </row>
    <row r="155">
      <c r="A155" s="16">
        <f>IF($B155="","",COUNTA($B$4:$B155))</f>
        <v/>
      </c>
      <c r="B155" s="72" t="n"/>
      <c r="C155" s="40" t="n"/>
      <c r="D155" s="47" t="n"/>
      <c r="E155" s="47" t="n"/>
      <c r="F155" s="47" t="n"/>
    </row>
    <row r="156">
      <c r="A156" s="16">
        <f>IF($B156="","",COUNTA($B$4:$B156))</f>
        <v/>
      </c>
      <c r="B156" s="71" t="n"/>
      <c r="C156" s="38" t="n"/>
      <c r="D156" s="45" t="n"/>
      <c r="E156" s="45" t="n"/>
      <c r="F156" s="45" t="n"/>
    </row>
    <row r="157">
      <c r="A157" s="16">
        <f>IF($B157="","",COUNTA($B$4:$B157))</f>
        <v/>
      </c>
      <c r="B157" s="72" t="n"/>
      <c r="C157" s="40" t="n"/>
      <c r="D157" s="47" t="n"/>
      <c r="E157" s="47" t="n"/>
      <c r="F157" s="47" t="n"/>
    </row>
    <row r="158">
      <c r="A158" s="16">
        <f>IF($B158="","",COUNTA($B$4:$B158))</f>
        <v/>
      </c>
      <c r="B158" s="71" t="n"/>
      <c r="C158" s="38" t="n"/>
      <c r="D158" s="45" t="n"/>
      <c r="E158" s="45" t="n"/>
      <c r="F158" s="45" t="n"/>
    </row>
    <row r="159">
      <c r="A159" s="16">
        <f>IF($B159="","",COUNTA($B$4:$B159))</f>
        <v/>
      </c>
      <c r="B159" s="72" t="n"/>
      <c r="C159" s="40" t="n"/>
      <c r="D159" s="47" t="n"/>
      <c r="E159" s="47" t="n"/>
      <c r="F159" s="47" t="n"/>
    </row>
    <row r="160">
      <c r="A160" s="16">
        <f>IF($B160="","",COUNTA($B$4:$B160))</f>
        <v/>
      </c>
      <c r="B160" s="71" t="n"/>
      <c r="C160" s="38" t="n"/>
      <c r="D160" s="45" t="n"/>
      <c r="E160" s="45" t="n"/>
      <c r="F160" s="45" t="n"/>
    </row>
    <row r="161">
      <c r="A161" s="16">
        <f>IF($B161="","",COUNTA($B$4:$B161))</f>
        <v/>
      </c>
      <c r="B161" s="72" t="n"/>
      <c r="C161" s="40" t="n"/>
      <c r="D161" s="47" t="n"/>
      <c r="E161" s="47" t="n"/>
      <c r="F161" s="47" t="n"/>
    </row>
    <row r="162">
      <c r="A162" s="16">
        <f>IF($B162="","",COUNTA($B$4:$B162))</f>
        <v/>
      </c>
      <c r="B162" s="71" t="n"/>
      <c r="C162" s="38" t="n"/>
      <c r="D162" s="45" t="n"/>
      <c r="E162" s="45" t="n"/>
      <c r="F162" s="45" t="n"/>
    </row>
    <row r="163">
      <c r="A163" s="16">
        <f>IF($B163="","",COUNTA($B$4:$B163))</f>
        <v/>
      </c>
      <c r="B163" s="72" t="n"/>
      <c r="C163" s="40" t="n"/>
      <c r="D163" s="47" t="n"/>
      <c r="E163" s="47" t="n"/>
      <c r="F163" s="47" t="n"/>
    </row>
    <row r="164">
      <c r="A164" s="16">
        <f>IF($B164="","",COUNTA($B$4:$B164))</f>
        <v/>
      </c>
      <c r="B164" s="71" t="n"/>
      <c r="C164" s="38" t="n"/>
      <c r="D164" s="45" t="n"/>
      <c r="E164" s="45" t="n"/>
      <c r="F164" s="45" t="n"/>
    </row>
    <row r="165">
      <c r="A165" s="16">
        <f>IF($B165="","",COUNTA($B$4:$B165))</f>
        <v/>
      </c>
      <c r="B165" s="72" t="n"/>
      <c r="C165" s="40" t="n"/>
      <c r="D165" s="47" t="n"/>
      <c r="E165" s="47" t="n"/>
      <c r="F165" s="47" t="n"/>
    </row>
    <row r="166">
      <c r="A166" s="16">
        <f>IF($B166="","",COUNTA($B$4:$B166))</f>
        <v/>
      </c>
      <c r="B166" s="71" t="n"/>
      <c r="C166" s="38" t="n"/>
      <c r="D166" s="45" t="n"/>
      <c r="E166" s="45" t="n"/>
      <c r="F166" s="45" t="n"/>
    </row>
    <row r="167">
      <c r="A167" s="16">
        <f>IF($B167="","",COUNTA($B$4:$B167))</f>
        <v/>
      </c>
      <c r="B167" s="72" t="n"/>
      <c r="C167" s="40" t="n"/>
      <c r="D167" s="47" t="n"/>
      <c r="E167" s="47" t="n"/>
      <c r="F167" s="47" t="n"/>
    </row>
    <row r="168">
      <c r="A168" s="16">
        <f>IF($B168="","",COUNTA($B$4:$B168))</f>
        <v/>
      </c>
      <c r="B168" s="71" t="n"/>
      <c r="C168" s="38" t="n"/>
      <c r="D168" s="45" t="n"/>
      <c r="E168" s="45" t="n"/>
      <c r="F168" s="45" t="n"/>
    </row>
    <row r="169">
      <c r="A169" s="16">
        <f>IF($B169="","",COUNTA($B$4:$B169))</f>
        <v/>
      </c>
      <c r="B169" s="72" t="n"/>
      <c r="C169" s="40" t="n"/>
      <c r="D169" s="47" t="n"/>
      <c r="E169" s="47" t="n"/>
      <c r="F169" s="47" t="n"/>
    </row>
    <row r="170">
      <c r="A170" s="16">
        <f>IF($B170="","",COUNTA($B$4:$B170))</f>
        <v/>
      </c>
      <c r="B170" s="71" t="n"/>
      <c r="C170" s="38" t="n"/>
      <c r="D170" s="45" t="n"/>
      <c r="E170" s="45" t="n"/>
      <c r="F170" s="45" t="n"/>
    </row>
    <row r="171">
      <c r="A171" s="16">
        <f>IF($B171="","",COUNTA($B$4:$B171))</f>
        <v/>
      </c>
      <c r="B171" s="72" t="n"/>
      <c r="C171" s="40" t="n"/>
      <c r="D171" s="47" t="n"/>
      <c r="E171" s="47" t="n"/>
      <c r="F171" s="47" t="n"/>
    </row>
    <row r="172">
      <c r="A172" s="16">
        <f>IF($B172="","",COUNTA($B$4:$B172))</f>
        <v/>
      </c>
      <c r="B172" s="71" t="n"/>
      <c r="C172" s="38" t="n"/>
      <c r="D172" s="45" t="n"/>
      <c r="E172" s="45" t="n"/>
      <c r="F172" s="45" t="n"/>
    </row>
    <row r="173">
      <c r="A173" s="16">
        <f>IF($B173="","",COUNTA($B$4:$B173))</f>
        <v/>
      </c>
      <c r="B173" s="72" t="n"/>
      <c r="C173" s="40" t="n"/>
      <c r="D173" s="47" t="n"/>
      <c r="E173" s="47" t="n"/>
      <c r="F173" s="47" t="n"/>
    </row>
    <row r="174">
      <c r="A174" s="16">
        <f>IF($B174="","",COUNTA($B$4:$B174))</f>
        <v/>
      </c>
      <c r="B174" s="71" t="n"/>
      <c r="C174" s="38" t="n"/>
      <c r="D174" s="45" t="n"/>
      <c r="E174" s="45" t="n"/>
      <c r="F174" s="45" t="n"/>
    </row>
    <row r="175">
      <c r="A175" s="16">
        <f>IF($B175="","",COUNTA($B$4:$B175))</f>
        <v/>
      </c>
      <c r="B175" s="72" t="n"/>
      <c r="C175" s="40" t="n"/>
      <c r="D175" s="47" t="n"/>
      <c r="E175" s="47" t="n"/>
      <c r="F175" s="47" t="n"/>
    </row>
    <row r="176">
      <c r="A176" s="16">
        <f>IF($B176="","",COUNTA($B$4:$B176))</f>
        <v/>
      </c>
      <c r="B176" s="71" t="n"/>
      <c r="C176" s="38" t="n"/>
      <c r="D176" s="45" t="n"/>
      <c r="E176" s="45" t="n"/>
      <c r="F176" s="45" t="n"/>
    </row>
    <row r="177">
      <c r="A177" s="16">
        <f>IF($B177="","",COUNTA($B$4:$B177))</f>
        <v/>
      </c>
      <c r="B177" s="72" t="n"/>
      <c r="C177" s="40" t="n"/>
      <c r="D177" s="47" t="n"/>
      <c r="E177" s="47" t="n"/>
      <c r="F177" s="47" t="n"/>
    </row>
    <row r="178">
      <c r="A178" s="16">
        <f>IF($B178="","",COUNTA($B$4:$B178))</f>
        <v/>
      </c>
      <c r="B178" s="71" t="n"/>
      <c r="C178" s="38" t="n"/>
      <c r="D178" s="45" t="n"/>
      <c r="E178" s="45" t="n"/>
      <c r="F178" s="45" t="n"/>
    </row>
    <row r="179">
      <c r="A179" s="16">
        <f>IF($B179="","",COUNTA($B$4:$B179))</f>
        <v/>
      </c>
      <c r="B179" s="72" t="n"/>
      <c r="C179" s="40" t="n"/>
      <c r="D179" s="47" t="n"/>
      <c r="E179" s="47" t="n"/>
      <c r="F179" s="47" t="n"/>
    </row>
    <row r="180">
      <c r="A180" s="16">
        <f>IF($B180="","",COUNTA($B$4:$B180))</f>
        <v/>
      </c>
      <c r="B180" s="71" t="n"/>
      <c r="C180" s="38" t="n"/>
      <c r="D180" s="45" t="n"/>
      <c r="E180" s="45" t="n"/>
      <c r="F180" s="45" t="n"/>
    </row>
    <row r="181">
      <c r="A181" s="16">
        <f>IF($B181="","",COUNTA($B$4:$B181))</f>
        <v/>
      </c>
      <c r="B181" s="72" t="n"/>
      <c r="C181" s="40" t="n"/>
      <c r="D181" s="47" t="n"/>
      <c r="E181" s="47" t="n"/>
      <c r="F181" s="47" t="n"/>
    </row>
    <row r="182">
      <c r="A182" s="16">
        <f>IF($B182="","",COUNTA($B$4:$B182))</f>
        <v/>
      </c>
      <c r="B182" s="71" t="n"/>
      <c r="C182" s="38" t="n"/>
      <c r="D182" s="45" t="n"/>
      <c r="E182" s="45" t="n"/>
      <c r="F182" s="45" t="n"/>
    </row>
    <row r="183">
      <c r="A183" s="16">
        <f>IF($B183="","",COUNTA($B$4:$B183))</f>
        <v/>
      </c>
      <c r="B183" s="72" t="n"/>
      <c r="C183" s="40" t="n"/>
      <c r="D183" s="47" t="n"/>
      <c r="E183" s="47" t="n"/>
      <c r="F183" s="47" t="n"/>
    </row>
    <row r="184">
      <c r="A184" s="16">
        <f>IF($B184="","",COUNTA($B$4:$B184))</f>
        <v/>
      </c>
      <c r="B184" s="71" t="n"/>
      <c r="C184" s="38" t="n"/>
      <c r="D184" s="45" t="n"/>
      <c r="E184" s="45" t="n"/>
      <c r="F184" s="45" t="n"/>
    </row>
    <row r="185">
      <c r="A185" s="16">
        <f>IF($B185="","",COUNTA($B$4:$B185))</f>
        <v/>
      </c>
      <c r="B185" s="72" t="n"/>
      <c r="C185" s="40" t="n"/>
      <c r="D185" s="47" t="n"/>
      <c r="E185" s="47" t="n"/>
      <c r="F185" s="47" t="n"/>
    </row>
    <row r="186">
      <c r="A186" s="16">
        <f>IF($B186="","",COUNTA($B$4:$B186))</f>
        <v/>
      </c>
      <c r="B186" s="71" t="n"/>
      <c r="C186" s="38" t="n"/>
      <c r="D186" s="45" t="n"/>
      <c r="E186" s="45" t="n"/>
      <c r="F186" s="45" t="n"/>
    </row>
    <row r="187">
      <c r="A187" s="16">
        <f>IF($B187="","",COUNTA($B$4:$B187))</f>
        <v/>
      </c>
      <c r="B187" s="72" t="n"/>
      <c r="C187" s="40" t="n"/>
      <c r="D187" s="47" t="n"/>
      <c r="E187" s="47" t="n"/>
      <c r="F187" s="47" t="n"/>
    </row>
    <row r="188">
      <c r="A188" s="16">
        <f>IF($B188="","",COUNTA($B$4:$B188))</f>
        <v/>
      </c>
      <c r="B188" s="71" t="n"/>
      <c r="C188" s="38" t="n"/>
      <c r="D188" s="45" t="n"/>
      <c r="E188" s="45" t="n"/>
      <c r="F188" s="45" t="n"/>
    </row>
    <row r="189">
      <c r="A189" s="16">
        <f>IF($B189="","",COUNTA($B$4:$B189))</f>
        <v/>
      </c>
      <c r="B189" s="72" t="n"/>
      <c r="C189" s="40" t="n"/>
      <c r="D189" s="47" t="n"/>
      <c r="E189" s="47" t="n"/>
      <c r="F189" s="47" t="n"/>
    </row>
    <row r="190">
      <c r="A190" s="16">
        <f>IF($B190="","",COUNTA($B$4:$B190))</f>
        <v/>
      </c>
      <c r="B190" s="71" t="n"/>
      <c r="C190" s="38" t="n"/>
      <c r="D190" s="45" t="n"/>
      <c r="E190" s="45" t="n"/>
      <c r="F190" s="45" t="n"/>
    </row>
    <row r="191">
      <c r="A191" s="16">
        <f>IF($B191="","",COUNTA($B$4:$B191))</f>
        <v/>
      </c>
      <c r="B191" s="72" t="n"/>
      <c r="C191" s="40" t="n"/>
      <c r="D191" s="47" t="n"/>
      <c r="E191" s="47" t="n"/>
      <c r="F191" s="47" t="n"/>
    </row>
    <row r="192">
      <c r="A192" s="16">
        <f>IF($B192="","",COUNTA($B$4:$B192))</f>
        <v/>
      </c>
      <c r="B192" s="71" t="n"/>
      <c r="C192" s="38" t="n"/>
      <c r="D192" s="45" t="n"/>
      <c r="E192" s="45" t="n"/>
      <c r="F192" s="45" t="n"/>
    </row>
    <row r="193">
      <c r="A193" s="16">
        <f>IF($B193="","",COUNTA($B$4:$B193))</f>
        <v/>
      </c>
      <c r="B193" s="72" t="n"/>
      <c r="C193" s="40" t="n"/>
      <c r="D193" s="47" t="n"/>
      <c r="E193" s="47" t="n"/>
      <c r="F193" s="47" t="n"/>
    </row>
    <row r="194">
      <c r="A194" s="16">
        <f>IF($B194="","",COUNTA($B$4:$B194))</f>
        <v/>
      </c>
      <c r="B194" s="71" t="n"/>
      <c r="C194" s="38" t="n"/>
      <c r="D194" s="45" t="n"/>
      <c r="E194" s="45" t="n"/>
      <c r="F194" s="45" t="n"/>
    </row>
    <row r="195">
      <c r="A195" s="16">
        <f>IF($B195="","",COUNTA($B$4:$B195))</f>
        <v/>
      </c>
      <c r="B195" s="72" t="n"/>
      <c r="C195" s="40" t="n"/>
      <c r="D195" s="47" t="n"/>
      <c r="E195" s="47" t="n"/>
      <c r="F195" s="47" t="n"/>
    </row>
    <row r="196">
      <c r="A196" s="16">
        <f>IF($B196="","",COUNTA($B$4:$B196))</f>
        <v/>
      </c>
      <c r="B196" s="71" t="n"/>
      <c r="C196" s="38" t="n"/>
      <c r="D196" s="45" t="n"/>
      <c r="E196" s="45" t="n"/>
      <c r="F196" s="45" t="n"/>
    </row>
    <row r="197">
      <c r="A197" s="16">
        <f>IF($B197="","",COUNTA($B$4:$B197))</f>
        <v/>
      </c>
      <c r="B197" s="72" t="n"/>
      <c r="C197" s="40" t="n"/>
      <c r="D197" s="47" t="n"/>
      <c r="E197" s="47" t="n"/>
      <c r="F197" s="47" t="n"/>
    </row>
    <row r="198">
      <c r="A198" s="16">
        <f>IF($B198="","",COUNTA($B$4:$B198))</f>
        <v/>
      </c>
      <c r="B198" s="71" t="n"/>
      <c r="C198" s="38" t="n"/>
      <c r="D198" s="45" t="n"/>
      <c r="E198" s="45" t="n"/>
      <c r="F198" s="45" t="n"/>
    </row>
    <row r="199">
      <c r="A199" s="16">
        <f>IF($B199="","",COUNTA($B$4:$B199))</f>
        <v/>
      </c>
      <c r="B199" s="72" t="n"/>
      <c r="C199" s="40" t="n"/>
      <c r="D199" s="47" t="n"/>
      <c r="E199" s="47" t="n"/>
      <c r="F199" s="47" t="n"/>
    </row>
    <row r="200">
      <c r="A200" s="16">
        <f>IF($B200="","",COUNTA($B$4:$B200))</f>
        <v/>
      </c>
      <c r="B200" s="71" t="n"/>
      <c r="C200" s="38" t="n"/>
      <c r="D200" s="45" t="n"/>
      <c r="E200" s="45" t="n"/>
      <c r="F200" s="45" t="n"/>
    </row>
    <row r="201">
      <c r="A201" s="16">
        <f>IF($B201="","",COUNTA($B$4:$B201))</f>
        <v/>
      </c>
      <c r="B201" s="72" t="n"/>
      <c r="C201" s="40" t="n"/>
      <c r="D201" s="47" t="n"/>
      <c r="E201" s="47" t="n"/>
      <c r="F201" s="47" t="n"/>
    </row>
    <row r="202">
      <c r="A202" s="16">
        <f>IF($B202="","",COUNTA($B$4:$B202))</f>
        <v/>
      </c>
      <c r="B202" s="71" t="n"/>
      <c r="C202" s="38" t="n"/>
      <c r="D202" s="45" t="n"/>
      <c r="E202" s="45" t="n"/>
      <c r="F202" s="45" t="n"/>
    </row>
    <row r="203">
      <c r="A203" s="16">
        <f>IF($B203="","",COUNTA($B$4:$B203))</f>
        <v/>
      </c>
      <c r="B203" s="72" t="n"/>
      <c r="C203" s="40" t="n"/>
      <c r="D203" s="47" t="n"/>
      <c r="E203" s="47" t="n"/>
      <c r="F203" s="47" t="n"/>
    </row>
    <row r="204">
      <c r="A204" s="16">
        <f>IF($B204="","",COUNTA($B$4:$B204))</f>
        <v/>
      </c>
      <c r="B204" s="71" t="n"/>
      <c r="C204" s="38" t="n"/>
      <c r="D204" s="45" t="n"/>
      <c r="E204" s="45" t="n"/>
      <c r="F204" s="45" t="n"/>
    </row>
    <row r="205">
      <c r="A205" s="16">
        <f>IF($B205="","",COUNTA($B$4:$B205))</f>
        <v/>
      </c>
      <c r="B205" s="72" t="n"/>
      <c r="C205" s="40" t="n"/>
      <c r="D205" s="47" t="n"/>
      <c r="E205" s="47" t="n"/>
      <c r="F205" s="47" t="n"/>
    </row>
    <row r="206">
      <c r="A206" s="16">
        <f>IF($B206="","",COUNTA($B$4:$B206))</f>
        <v/>
      </c>
      <c r="B206" s="71" t="n"/>
      <c r="C206" s="38" t="n"/>
      <c r="D206" s="45" t="n"/>
      <c r="E206" s="45" t="n"/>
      <c r="F206" s="45" t="n"/>
    </row>
    <row r="207">
      <c r="A207" s="16">
        <f>IF($B207="","",COUNTA($B$4:$B207))</f>
        <v/>
      </c>
      <c r="B207" s="72" t="n"/>
      <c r="C207" s="40" t="n"/>
      <c r="D207" s="47" t="n"/>
      <c r="E207" s="47" t="n"/>
      <c r="F207" s="47" t="n"/>
    </row>
    <row r="208">
      <c r="A208" s="16">
        <f>IF($B208="","",COUNTA($B$4:$B208))</f>
        <v/>
      </c>
      <c r="B208" s="71" t="n"/>
      <c r="C208" s="38" t="n"/>
      <c r="D208" s="45" t="n"/>
      <c r="E208" s="45" t="n"/>
      <c r="F208" s="45" t="n"/>
    </row>
    <row r="209">
      <c r="A209" s="16">
        <f>IF($B209="","",COUNTA($B$4:$B209))</f>
        <v/>
      </c>
      <c r="B209" s="72" t="n"/>
      <c r="C209" s="40" t="n"/>
      <c r="D209" s="47" t="n"/>
      <c r="E209" s="47" t="n"/>
      <c r="F209" s="47" t="n"/>
    </row>
    <row r="210">
      <c r="A210" s="16">
        <f>IF($B210="","",COUNTA($B$4:$B210))</f>
        <v/>
      </c>
      <c r="B210" s="71" t="n"/>
      <c r="C210" s="38" t="n"/>
      <c r="D210" s="45" t="n"/>
      <c r="E210" s="45" t="n"/>
      <c r="F210" s="45" t="n"/>
    </row>
    <row r="211">
      <c r="A211" s="16">
        <f>IF($B211="","",COUNTA($B$4:$B211))</f>
        <v/>
      </c>
      <c r="B211" s="72" t="n"/>
      <c r="C211" s="40" t="n"/>
      <c r="D211" s="47" t="n"/>
      <c r="E211" s="47" t="n"/>
      <c r="F211" s="47" t="n"/>
    </row>
    <row r="212">
      <c r="A212" s="16">
        <f>IF($B212="","",COUNTA($B$4:$B212))</f>
        <v/>
      </c>
      <c r="B212" s="71" t="n"/>
      <c r="C212" s="38" t="n"/>
      <c r="D212" s="45" t="n"/>
      <c r="E212" s="45" t="n"/>
      <c r="F212" s="45" t="n"/>
    </row>
    <row r="213">
      <c r="A213" s="16">
        <f>IF($B213="","",COUNTA($B$4:$B213))</f>
        <v/>
      </c>
      <c r="B213" s="72" t="n"/>
      <c r="C213" s="40" t="n"/>
      <c r="D213" s="47" t="n"/>
      <c r="E213" s="47" t="n"/>
      <c r="F213" s="47" t="n"/>
    </row>
    <row r="214">
      <c r="A214" s="16">
        <f>IF($B214="","",COUNTA($B$4:$B214))</f>
        <v/>
      </c>
      <c r="B214" s="71" t="n"/>
      <c r="C214" s="38" t="n"/>
      <c r="D214" s="45" t="n"/>
      <c r="E214" s="45" t="n"/>
      <c r="F214" s="45" t="n"/>
    </row>
    <row r="215">
      <c r="A215" s="16">
        <f>IF($B215="","",COUNTA($B$4:$B215))</f>
        <v/>
      </c>
      <c r="B215" s="72" t="n"/>
      <c r="C215" s="40" t="n"/>
      <c r="D215" s="47" t="n"/>
      <c r="E215" s="47" t="n"/>
      <c r="F215" s="47" t="n"/>
    </row>
    <row r="216">
      <c r="A216" s="16">
        <f>IF($B216="","",COUNTA($B$4:$B216))</f>
        <v/>
      </c>
      <c r="B216" s="71" t="n"/>
      <c r="C216" s="38" t="n"/>
      <c r="D216" s="45" t="n"/>
      <c r="E216" s="45" t="n"/>
      <c r="F216" s="45" t="n"/>
    </row>
    <row r="217">
      <c r="A217" s="16">
        <f>IF($B217="","",COUNTA($B$4:$B217))</f>
        <v/>
      </c>
      <c r="B217" s="72" t="n"/>
      <c r="C217" s="40" t="n"/>
      <c r="D217" s="47" t="n"/>
      <c r="E217" s="47" t="n"/>
      <c r="F217" s="47" t="n"/>
    </row>
    <row r="218">
      <c r="A218" s="16">
        <f>IF($B218="","",COUNTA($B$4:$B218))</f>
        <v/>
      </c>
      <c r="B218" s="71" t="n"/>
      <c r="C218" s="38" t="n"/>
      <c r="D218" s="45" t="n"/>
      <c r="E218" s="45" t="n"/>
      <c r="F218" s="45" t="n"/>
    </row>
    <row r="219">
      <c r="A219" s="16">
        <f>IF($B219="","",COUNTA($B$4:$B219))</f>
        <v/>
      </c>
      <c r="B219" s="72" t="n"/>
      <c r="C219" s="40" t="n"/>
      <c r="D219" s="47" t="n"/>
      <c r="E219" s="47" t="n"/>
      <c r="F219" s="47" t="n"/>
    </row>
    <row r="220">
      <c r="A220" s="16">
        <f>IF($B220="","",COUNTA($B$4:$B220))</f>
        <v/>
      </c>
      <c r="B220" s="71" t="n"/>
      <c r="C220" s="38" t="n"/>
      <c r="D220" s="45" t="n"/>
      <c r="E220" s="45" t="n"/>
      <c r="F220" s="45" t="n"/>
    </row>
    <row r="221">
      <c r="A221" s="16">
        <f>IF($B221="","",COUNTA($B$4:$B221))</f>
        <v/>
      </c>
      <c r="B221" s="72" t="n"/>
      <c r="C221" s="40" t="n"/>
      <c r="D221" s="47" t="n"/>
      <c r="E221" s="47" t="n"/>
      <c r="F221" s="47" t="n"/>
    </row>
    <row r="222">
      <c r="A222" s="16">
        <f>IF($B222="","",COUNTA($B$4:$B222))</f>
        <v/>
      </c>
      <c r="B222" s="71" t="n"/>
      <c r="C222" s="38" t="n"/>
      <c r="D222" s="45" t="n"/>
      <c r="E222" s="45" t="n"/>
      <c r="F222" s="45" t="n"/>
    </row>
    <row r="223">
      <c r="A223" s="16">
        <f>IF($B223="","",COUNTA($B$4:$B223))</f>
        <v/>
      </c>
      <c r="B223" s="72" t="n"/>
      <c r="C223" s="40" t="n"/>
      <c r="D223" s="47" t="n"/>
      <c r="E223" s="47" t="n"/>
      <c r="F223" s="47" t="n"/>
    </row>
    <row r="224">
      <c r="A224" s="16">
        <f>IF($B224="","",COUNTA($B$4:$B224))</f>
        <v/>
      </c>
      <c r="B224" s="71" t="n"/>
      <c r="C224" s="38" t="n"/>
      <c r="D224" s="45" t="n"/>
      <c r="E224" s="45" t="n"/>
      <c r="F224" s="45" t="n"/>
    </row>
    <row r="225">
      <c r="A225" s="16">
        <f>IF($B225="","",COUNTA($B$4:$B225))</f>
        <v/>
      </c>
      <c r="B225" s="72" t="n"/>
      <c r="C225" s="40" t="n"/>
      <c r="D225" s="47" t="n"/>
      <c r="E225" s="47" t="n"/>
      <c r="F225" s="47" t="n"/>
    </row>
    <row r="226">
      <c r="A226" s="16">
        <f>IF($B226="","",COUNTA($B$4:$B226))</f>
        <v/>
      </c>
      <c r="B226" s="71" t="n"/>
      <c r="C226" s="38" t="n"/>
      <c r="D226" s="45" t="n"/>
      <c r="E226" s="45" t="n"/>
      <c r="F226" s="45" t="n"/>
    </row>
    <row r="227">
      <c r="A227" s="16">
        <f>IF($B227="","",COUNTA($B$4:$B227))</f>
        <v/>
      </c>
      <c r="B227" s="72" t="n"/>
      <c r="C227" s="40" t="n"/>
      <c r="D227" s="47" t="n"/>
      <c r="E227" s="47" t="n"/>
      <c r="F227" s="47" t="n"/>
    </row>
    <row r="228">
      <c r="A228" s="16">
        <f>IF($B228="","",COUNTA($B$4:$B228))</f>
        <v/>
      </c>
      <c r="B228" s="71" t="n"/>
      <c r="C228" s="38" t="n"/>
      <c r="D228" s="45" t="n"/>
      <c r="E228" s="45" t="n"/>
      <c r="F228" s="45" t="n"/>
    </row>
    <row r="229">
      <c r="A229" s="16">
        <f>IF($B229="","",COUNTA($B$4:$B229))</f>
        <v/>
      </c>
      <c r="B229" s="72" t="n"/>
      <c r="C229" s="40" t="n"/>
      <c r="D229" s="47" t="n"/>
      <c r="E229" s="47" t="n"/>
      <c r="F229" s="47" t="n"/>
    </row>
    <row r="230">
      <c r="A230" s="16">
        <f>IF($B230="","",COUNTA($B$4:$B230))</f>
        <v/>
      </c>
      <c r="B230" s="71" t="n"/>
      <c r="C230" s="38" t="n"/>
      <c r="D230" s="45" t="n"/>
      <c r="E230" s="45" t="n"/>
      <c r="F230" s="45" t="n"/>
    </row>
    <row r="231">
      <c r="A231" s="16">
        <f>IF($B231="","",COUNTA($B$4:$B231))</f>
        <v/>
      </c>
      <c r="B231" s="72" t="n"/>
      <c r="C231" s="40" t="n"/>
      <c r="D231" s="47" t="n"/>
      <c r="E231" s="47" t="n"/>
      <c r="F231" s="47" t="n"/>
    </row>
    <row r="232">
      <c r="A232" s="16">
        <f>IF($B232="","",COUNTA($B$4:$B232))</f>
        <v/>
      </c>
      <c r="B232" s="71" t="n"/>
      <c r="C232" s="38" t="n"/>
      <c r="D232" s="45" t="n"/>
      <c r="E232" s="45" t="n"/>
      <c r="F232" s="45" t="n"/>
    </row>
    <row r="233">
      <c r="A233" s="16">
        <f>IF($B233="","",COUNTA($B$4:$B233))</f>
        <v/>
      </c>
      <c r="B233" s="72" t="n"/>
      <c r="C233" s="40" t="n"/>
      <c r="D233" s="47" t="n"/>
      <c r="E233" s="47" t="n"/>
      <c r="F233" s="47" t="n"/>
    </row>
    <row r="234">
      <c r="A234" s="16">
        <f>IF($B234="","",COUNTA($B$4:$B234))</f>
        <v/>
      </c>
      <c r="B234" s="71" t="n"/>
      <c r="C234" s="38" t="n"/>
      <c r="D234" s="45" t="n"/>
      <c r="E234" s="45" t="n"/>
      <c r="F234" s="45" t="n"/>
    </row>
    <row r="235">
      <c r="A235" s="16">
        <f>IF($B235="","",COUNTA($B$4:$B235))</f>
        <v/>
      </c>
      <c r="B235" s="72" t="n"/>
      <c r="C235" s="40" t="n"/>
      <c r="D235" s="47" t="n"/>
      <c r="E235" s="47" t="n"/>
      <c r="F235" s="47" t="n"/>
    </row>
    <row r="236">
      <c r="A236" s="16">
        <f>IF($B236="","",COUNTA($B$4:$B236))</f>
        <v/>
      </c>
      <c r="B236" s="71" t="n"/>
      <c r="C236" s="38" t="n"/>
      <c r="D236" s="45" t="n"/>
      <c r="E236" s="45" t="n"/>
      <c r="F236" s="45" t="n"/>
    </row>
    <row r="237">
      <c r="A237" s="16">
        <f>IF($B237="","",COUNTA($B$4:$B237))</f>
        <v/>
      </c>
      <c r="B237" s="72" t="n"/>
      <c r="C237" s="40" t="n"/>
      <c r="D237" s="47" t="n"/>
      <c r="E237" s="47" t="n"/>
      <c r="F237" s="47" t="n"/>
    </row>
    <row r="238">
      <c r="A238" s="16">
        <f>IF($B238="","",COUNTA($B$4:$B238))</f>
        <v/>
      </c>
      <c r="B238" s="71" t="n"/>
      <c r="C238" s="38" t="n"/>
      <c r="D238" s="45" t="n"/>
      <c r="E238" s="45" t="n"/>
      <c r="F238" s="45" t="n"/>
    </row>
    <row r="239">
      <c r="A239" s="16">
        <f>IF($B239="","",COUNTA($B$4:$B239))</f>
        <v/>
      </c>
      <c r="B239" s="72" t="n"/>
      <c r="C239" s="40" t="n"/>
      <c r="D239" s="47" t="n"/>
      <c r="E239" s="47" t="n"/>
      <c r="F239" s="47" t="n"/>
    </row>
    <row r="240">
      <c r="A240" s="16">
        <f>IF($B240="","",COUNTA($B$4:$B240))</f>
        <v/>
      </c>
      <c r="B240" s="71" t="n"/>
      <c r="C240" s="38" t="n"/>
      <c r="D240" s="45" t="n"/>
      <c r="E240" s="45" t="n"/>
      <c r="F240" s="45" t="n"/>
    </row>
    <row r="241">
      <c r="A241" s="16">
        <f>IF($B241="","",COUNTA($B$4:$B241))</f>
        <v/>
      </c>
      <c r="B241" s="72" t="n"/>
      <c r="C241" s="40" t="n"/>
      <c r="D241" s="47" t="n"/>
      <c r="E241" s="47" t="n"/>
      <c r="F241" s="47" t="n"/>
    </row>
    <row r="242">
      <c r="A242" s="16">
        <f>IF($B242="","",COUNTA($B$4:$B242))</f>
        <v/>
      </c>
      <c r="B242" s="71" t="n"/>
      <c r="C242" s="38" t="n"/>
      <c r="D242" s="45" t="n"/>
      <c r="E242" s="45" t="n"/>
      <c r="F242" s="45" t="n"/>
    </row>
    <row r="243">
      <c r="A243" s="16">
        <f>IF($B243="","",COUNTA($B$4:$B243))</f>
        <v/>
      </c>
      <c r="B243" s="72" t="n"/>
      <c r="C243" s="40" t="n"/>
      <c r="D243" s="47" t="n"/>
      <c r="E243" s="47" t="n"/>
      <c r="F243" s="47" t="n"/>
    </row>
    <row r="244">
      <c r="A244" s="16">
        <f>IF($B244="","",COUNTA($B$4:$B244))</f>
        <v/>
      </c>
      <c r="B244" s="71" t="n"/>
      <c r="C244" s="38" t="n"/>
      <c r="D244" s="45" t="n"/>
      <c r="E244" s="45" t="n"/>
      <c r="F244" s="45" t="n"/>
    </row>
    <row r="245">
      <c r="A245" s="16">
        <f>IF($B245="","",COUNTA($B$4:$B245))</f>
        <v/>
      </c>
      <c r="B245" s="72" t="n"/>
      <c r="C245" s="40" t="n"/>
      <c r="D245" s="47" t="n"/>
      <c r="E245" s="47" t="n"/>
      <c r="F245" s="47" t="n"/>
    </row>
    <row r="246">
      <c r="A246" s="16">
        <f>IF($B246="","",COUNTA($B$4:$B246))</f>
        <v/>
      </c>
      <c r="B246" s="71" t="n"/>
      <c r="C246" s="38" t="n"/>
      <c r="D246" s="45" t="n"/>
      <c r="E246" s="45" t="n"/>
      <c r="F246" s="45" t="n"/>
    </row>
    <row r="247">
      <c r="A247" s="16">
        <f>IF($B247="","",COUNTA($B$4:$B247))</f>
        <v/>
      </c>
      <c r="B247" s="72" t="n"/>
      <c r="C247" s="40" t="n"/>
      <c r="D247" s="47" t="n"/>
      <c r="E247" s="47" t="n"/>
      <c r="F247" s="47" t="n"/>
    </row>
    <row r="248">
      <c r="A248" s="16">
        <f>IF($B248="","",COUNTA($B$4:$B248))</f>
        <v/>
      </c>
      <c r="B248" s="71" t="n"/>
      <c r="C248" s="38" t="n"/>
      <c r="D248" s="45" t="n"/>
      <c r="E248" s="45" t="n"/>
      <c r="F248" s="45" t="n"/>
    </row>
    <row r="249">
      <c r="A249" s="16">
        <f>IF($B249="","",COUNTA($B$4:$B249))</f>
        <v/>
      </c>
      <c r="B249" s="72" t="n"/>
      <c r="C249" s="40" t="n"/>
      <c r="D249" s="47" t="n"/>
      <c r="E249" s="47" t="n"/>
      <c r="F249" s="47" t="n"/>
    </row>
    <row r="250">
      <c r="A250" s="16">
        <f>IF($B250="","",COUNTA($B$4:$B250))</f>
        <v/>
      </c>
      <c r="B250" s="71" t="n"/>
      <c r="C250" s="38" t="n"/>
      <c r="D250" s="45" t="n"/>
      <c r="E250" s="45" t="n"/>
      <c r="F250" s="45" t="n"/>
    </row>
    <row r="251">
      <c r="A251" s="16">
        <f>IF($B251="","",COUNTA($B$4:$B251))</f>
        <v/>
      </c>
      <c r="B251" s="72" t="n"/>
      <c r="C251" s="40" t="n"/>
      <c r="D251" s="47" t="n"/>
      <c r="E251" s="47" t="n"/>
      <c r="F251" s="47" t="n"/>
    </row>
    <row r="252">
      <c r="A252" s="16">
        <f>IF($B252="","",COUNTA($B$4:$B252))</f>
        <v/>
      </c>
      <c r="B252" s="71" t="n"/>
      <c r="C252" s="38" t="n"/>
      <c r="D252" s="45" t="n"/>
      <c r="E252" s="45" t="n"/>
      <c r="F252" s="45" t="n"/>
    </row>
    <row r="253">
      <c r="A253" s="16">
        <f>IF($B253="","",COUNTA($B$4:$B253))</f>
        <v/>
      </c>
      <c r="B253" s="72" t="n"/>
      <c r="C253" s="40" t="n"/>
      <c r="D253" s="47" t="n"/>
      <c r="E253" s="47" t="n"/>
      <c r="F253" s="47" t="n"/>
    </row>
    <row r="254">
      <c r="A254" s="16">
        <f>IF($B254="","",COUNTA($B$4:$B254))</f>
        <v/>
      </c>
      <c r="B254" s="71" t="n"/>
      <c r="C254" s="38" t="n"/>
      <c r="D254" s="45" t="n"/>
      <c r="E254" s="45" t="n"/>
      <c r="F254" s="45" t="n"/>
    </row>
    <row r="255">
      <c r="A255" s="16">
        <f>IF($B255="","",COUNTA($B$4:$B255))</f>
        <v/>
      </c>
      <c r="B255" s="72" t="n"/>
      <c r="C255" s="40" t="n"/>
      <c r="D255" s="47" t="n"/>
      <c r="E255" s="47" t="n"/>
      <c r="F255" s="47" t="n"/>
    </row>
    <row r="256">
      <c r="A256" s="16">
        <f>IF($B256="","",COUNTA($B$4:$B256))</f>
        <v/>
      </c>
      <c r="B256" s="71" t="n"/>
      <c r="C256" s="38" t="n"/>
      <c r="D256" s="45" t="n"/>
      <c r="E256" s="45" t="n"/>
      <c r="F256" s="45" t="n"/>
    </row>
    <row r="257">
      <c r="A257" s="16">
        <f>IF($B257="","",COUNTA($B$4:$B257))</f>
        <v/>
      </c>
      <c r="B257" s="72" t="n"/>
      <c r="C257" s="40" t="n"/>
      <c r="D257" s="47" t="n"/>
      <c r="E257" s="47" t="n"/>
      <c r="F257" s="47" t="n"/>
    </row>
    <row r="258">
      <c r="A258" s="16">
        <f>IF($B258="","",COUNTA($B$4:$B258))</f>
        <v/>
      </c>
      <c r="B258" s="71" t="n"/>
      <c r="C258" s="38" t="n"/>
      <c r="D258" s="45" t="n"/>
      <c r="E258" s="45" t="n"/>
      <c r="F258" s="45" t="n"/>
    </row>
    <row r="259">
      <c r="A259" s="16">
        <f>IF($B259="","",COUNTA($B$4:$B259))</f>
        <v/>
      </c>
      <c r="B259" s="72" t="n"/>
      <c r="C259" s="40" t="n"/>
      <c r="D259" s="47" t="n"/>
      <c r="E259" s="47" t="n"/>
      <c r="F259" s="47" t="n"/>
    </row>
    <row r="260">
      <c r="A260" s="16">
        <f>IF($B260="","",COUNTA($B$4:$B260))</f>
        <v/>
      </c>
      <c r="B260" s="71" t="n"/>
      <c r="C260" s="38" t="n"/>
      <c r="D260" s="45" t="n"/>
      <c r="E260" s="45" t="n"/>
      <c r="F260" s="45" t="n"/>
    </row>
    <row r="261">
      <c r="A261" s="16">
        <f>IF($B261="","",COUNTA($B$4:$B261))</f>
        <v/>
      </c>
      <c r="B261" s="72" t="n"/>
      <c r="C261" s="40" t="n"/>
      <c r="D261" s="47" t="n"/>
      <c r="E261" s="47" t="n"/>
      <c r="F261" s="47" t="n"/>
    </row>
    <row r="262">
      <c r="A262" s="16">
        <f>IF($B262="","",COUNTA($B$4:$B262))</f>
        <v/>
      </c>
      <c r="B262" s="71" t="n"/>
      <c r="C262" s="38" t="n"/>
      <c r="D262" s="45" t="n"/>
      <c r="E262" s="45" t="n"/>
      <c r="F262" s="45" t="n"/>
    </row>
    <row r="263">
      <c r="A263" s="16">
        <f>IF($B263="","",COUNTA($B$4:$B263))</f>
        <v/>
      </c>
      <c r="B263" s="72" t="n"/>
      <c r="C263" s="40" t="n"/>
      <c r="D263" s="47" t="n"/>
      <c r="E263" s="47" t="n"/>
      <c r="F263" s="47" t="n"/>
    </row>
    <row r="264">
      <c r="A264" s="16">
        <f>IF($B264="","",COUNTA($B$4:$B264))</f>
        <v/>
      </c>
      <c r="B264" s="71" t="n"/>
      <c r="C264" s="38" t="n"/>
      <c r="D264" s="45" t="n"/>
      <c r="E264" s="45" t="n"/>
      <c r="F264" s="45" t="n"/>
    </row>
    <row r="265">
      <c r="A265" s="16">
        <f>IF($B265="","",COUNTA($B$4:$B265))</f>
        <v/>
      </c>
      <c r="B265" s="72" t="n"/>
      <c r="C265" s="40" t="n"/>
      <c r="D265" s="47" t="n"/>
      <c r="E265" s="47" t="n"/>
      <c r="F265" s="47" t="n"/>
    </row>
    <row r="266">
      <c r="A266" s="16">
        <f>IF($B266="","",COUNTA($B$4:$B266))</f>
        <v/>
      </c>
      <c r="B266" s="71" t="n"/>
      <c r="C266" s="38" t="n"/>
      <c r="D266" s="45" t="n"/>
      <c r="E266" s="45" t="n"/>
      <c r="F266" s="45" t="n"/>
    </row>
    <row r="267">
      <c r="A267" s="16">
        <f>IF($B267="","",COUNTA($B$4:$B267))</f>
        <v/>
      </c>
      <c r="B267" s="72" t="n"/>
      <c r="C267" s="40" t="n"/>
      <c r="D267" s="47" t="n"/>
      <c r="E267" s="47" t="n"/>
      <c r="F267" s="47" t="n"/>
    </row>
    <row r="268">
      <c r="A268" s="16">
        <f>IF($B268="","",COUNTA($B$4:$B268))</f>
        <v/>
      </c>
      <c r="B268" s="71" t="n"/>
      <c r="C268" s="38" t="n"/>
      <c r="D268" s="45" t="n"/>
      <c r="E268" s="45" t="n"/>
      <c r="F268" s="45" t="n"/>
    </row>
    <row r="269">
      <c r="A269" s="16">
        <f>IF($B269="","",COUNTA($B$4:$B269))</f>
        <v/>
      </c>
      <c r="B269" s="72" t="n"/>
      <c r="C269" s="40" t="n"/>
      <c r="D269" s="47" t="n"/>
      <c r="E269" s="47" t="n"/>
      <c r="F269" s="47" t="n"/>
    </row>
    <row r="270">
      <c r="A270" s="16">
        <f>IF($B270="","",COUNTA($B$4:$B270))</f>
        <v/>
      </c>
      <c r="B270" s="71" t="n"/>
      <c r="C270" s="38" t="n"/>
      <c r="D270" s="45" t="n"/>
      <c r="E270" s="45" t="n"/>
      <c r="F270" s="45" t="n"/>
    </row>
    <row r="271">
      <c r="A271" s="16">
        <f>IF($B271="","",COUNTA($B$4:$B271))</f>
        <v/>
      </c>
      <c r="B271" s="72" t="n"/>
      <c r="C271" s="40" t="n"/>
      <c r="D271" s="47" t="n"/>
      <c r="E271" s="47" t="n"/>
      <c r="F271" s="47" t="n"/>
    </row>
    <row r="272">
      <c r="A272" s="16">
        <f>IF($B272="","",COUNTA($B$4:$B272))</f>
        <v/>
      </c>
      <c r="B272" s="71" t="n"/>
      <c r="C272" s="38" t="n"/>
      <c r="D272" s="45" t="n"/>
      <c r="E272" s="45" t="n"/>
      <c r="F272" s="45" t="n"/>
    </row>
    <row r="273">
      <c r="A273" s="16">
        <f>IF($B273="","",COUNTA($B$4:$B273))</f>
        <v/>
      </c>
      <c r="B273" s="72" t="n"/>
      <c r="C273" s="40" t="n"/>
      <c r="D273" s="47" t="n"/>
      <c r="E273" s="47" t="n"/>
      <c r="F273" s="47" t="n"/>
    </row>
    <row r="274">
      <c r="A274" s="16">
        <f>IF($B274="","",COUNTA($B$4:$B274))</f>
        <v/>
      </c>
      <c r="B274" s="71" t="n"/>
      <c r="C274" s="38" t="n"/>
      <c r="D274" s="45" t="n"/>
      <c r="E274" s="45" t="n"/>
      <c r="F274" s="45" t="n"/>
    </row>
    <row r="275">
      <c r="A275" s="16">
        <f>IF($B275="","",COUNTA($B$4:$B275))</f>
        <v/>
      </c>
      <c r="B275" s="72" t="n"/>
      <c r="C275" s="40" t="n"/>
      <c r="D275" s="47" t="n"/>
      <c r="E275" s="47" t="n"/>
      <c r="F275" s="47" t="n"/>
    </row>
    <row r="276">
      <c r="A276" s="16">
        <f>IF($B276="","",COUNTA($B$4:$B276))</f>
        <v/>
      </c>
      <c r="B276" s="71" t="n"/>
      <c r="C276" s="38" t="n"/>
      <c r="D276" s="45" t="n"/>
      <c r="E276" s="45" t="n"/>
      <c r="F276" s="45" t="n"/>
    </row>
    <row r="277">
      <c r="A277" s="16">
        <f>IF($B277="","",COUNTA($B$4:$B277))</f>
        <v/>
      </c>
      <c r="B277" s="72" t="n"/>
      <c r="C277" s="40" t="n"/>
      <c r="D277" s="47" t="n"/>
      <c r="E277" s="47" t="n"/>
      <c r="F277" s="47" t="n"/>
    </row>
    <row r="278">
      <c r="A278" s="16">
        <f>IF($B278="","",COUNTA($B$4:$B278))</f>
        <v/>
      </c>
      <c r="B278" s="71" t="n"/>
      <c r="C278" s="38" t="n"/>
      <c r="D278" s="45" t="n"/>
      <c r="E278" s="45" t="n"/>
      <c r="F278" s="45" t="n"/>
    </row>
    <row r="279">
      <c r="A279" s="16">
        <f>IF($B279="","",COUNTA($B$4:$B279))</f>
        <v/>
      </c>
      <c r="B279" s="72" t="n"/>
      <c r="C279" s="40" t="n"/>
      <c r="D279" s="47" t="n"/>
      <c r="E279" s="47" t="n"/>
      <c r="F279" s="47" t="n"/>
    </row>
    <row r="280">
      <c r="A280" s="16">
        <f>IF($B280="","",COUNTA($B$4:$B280))</f>
        <v/>
      </c>
      <c r="B280" s="71" t="n"/>
      <c r="C280" s="38" t="n"/>
      <c r="D280" s="45" t="n"/>
      <c r="E280" s="45" t="n"/>
      <c r="F280" s="45" t="n"/>
    </row>
    <row r="281">
      <c r="A281" s="16">
        <f>IF($B281="","",COUNTA($B$4:$B281))</f>
        <v/>
      </c>
      <c r="B281" s="72" t="n"/>
      <c r="C281" s="40" t="n"/>
      <c r="D281" s="47" t="n"/>
      <c r="E281" s="47" t="n"/>
      <c r="F281" s="47" t="n"/>
    </row>
    <row r="282">
      <c r="A282" s="16">
        <f>IF($B282="","",COUNTA($B$4:$B282))</f>
        <v/>
      </c>
      <c r="B282" s="71" t="n"/>
      <c r="C282" s="38" t="n"/>
      <c r="D282" s="45" t="n"/>
      <c r="E282" s="45" t="n"/>
      <c r="F282" s="45" t="n"/>
    </row>
    <row r="283">
      <c r="A283" s="16">
        <f>IF($B283="","",COUNTA($B$4:$B283))</f>
        <v/>
      </c>
      <c r="B283" s="72" t="n"/>
      <c r="C283" s="40" t="n"/>
      <c r="D283" s="47" t="n"/>
      <c r="E283" s="47" t="n"/>
      <c r="F283" s="47" t="n"/>
    </row>
    <row r="284">
      <c r="A284" s="16">
        <f>IF($B284="","",COUNTA($B$4:$B284))</f>
        <v/>
      </c>
      <c r="B284" s="71" t="n"/>
      <c r="C284" s="38" t="n"/>
      <c r="D284" s="45" t="n"/>
      <c r="E284" s="45" t="n"/>
      <c r="F284" s="45" t="n"/>
    </row>
    <row r="285">
      <c r="A285" s="16">
        <f>IF($B285="","",COUNTA($B$4:$B285))</f>
        <v/>
      </c>
      <c r="B285" s="72" t="n"/>
      <c r="C285" s="40" t="n"/>
      <c r="D285" s="47" t="n"/>
      <c r="E285" s="47" t="n"/>
      <c r="F285" s="47" t="n"/>
    </row>
    <row r="286">
      <c r="A286" s="16">
        <f>IF($B286="","",COUNTA($B$4:$B286))</f>
        <v/>
      </c>
      <c r="B286" s="71" t="n"/>
      <c r="C286" s="38" t="n"/>
      <c r="D286" s="45" t="n"/>
      <c r="E286" s="45" t="n"/>
      <c r="F286" s="45" t="n"/>
    </row>
    <row r="287">
      <c r="A287" s="16">
        <f>IF($B287="","",COUNTA($B$4:$B287))</f>
        <v/>
      </c>
      <c r="B287" s="72" t="n"/>
      <c r="C287" s="40" t="n"/>
      <c r="D287" s="47" t="n"/>
      <c r="E287" s="47" t="n"/>
      <c r="F287" s="47" t="n"/>
    </row>
    <row r="288">
      <c r="A288" s="16">
        <f>IF($B288="","",COUNTA($B$4:$B288))</f>
        <v/>
      </c>
      <c r="B288" s="71" t="n"/>
      <c r="C288" s="38" t="n"/>
      <c r="D288" s="45" t="n"/>
      <c r="E288" s="45" t="n"/>
      <c r="F288" s="45" t="n"/>
    </row>
    <row r="289">
      <c r="A289" s="16">
        <f>IF($B289="","",COUNTA($B$4:$B289))</f>
        <v/>
      </c>
      <c r="B289" s="72" t="n"/>
      <c r="C289" s="40" t="n"/>
      <c r="D289" s="47" t="n"/>
      <c r="E289" s="47" t="n"/>
      <c r="F289" s="47" t="n"/>
    </row>
    <row r="290">
      <c r="A290" s="16">
        <f>IF($B290="","",COUNTA($B$4:$B290))</f>
        <v/>
      </c>
      <c r="B290" s="71" t="n"/>
      <c r="C290" s="38" t="n"/>
      <c r="D290" s="45" t="n"/>
      <c r="E290" s="45" t="n"/>
      <c r="F290" s="45" t="n"/>
    </row>
    <row r="291">
      <c r="A291" s="16">
        <f>IF($B291="","",COUNTA($B$4:$B291))</f>
        <v/>
      </c>
      <c r="B291" s="72" t="n"/>
      <c r="C291" s="40" t="n"/>
      <c r="D291" s="47" t="n"/>
      <c r="E291" s="47" t="n"/>
      <c r="F291" s="47" t="n"/>
    </row>
    <row r="292">
      <c r="A292" s="16">
        <f>IF($B292="","",COUNTA($B$4:$B292))</f>
        <v/>
      </c>
      <c r="B292" s="71" t="n"/>
      <c r="C292" s="38" t="n"/>
      <c r="D292" s="45" t="n"/>
      <c r="E292" s="45" t="n"/>
      <c r="F292" s="45" t="n"/>
    </row>
    <row r="293">
      <c r="A293" s="16">
        <f>IF($B293="","",COUNTA($B$4:$B293))</f>
        <v/>
      </c>
      <c r="B293" s="72" t="n"/>
      <c r="C293" s="40" t="n"/>
      <c r="D293" s="47" t="n"/>
      <c r="E293" s="47" t="n"/>
      <c r="F293" s="47" t="n"/>
    </row>
    <row r="294">
      <c r="A294" s="16">
        <f>IF($B294="","",COUNTA($B$4:$B294))</f>
        <v/>
      </c>
      <c r="B294" s="71" t="n"/>
      <c r="C294" s="38" t="n"/>
      <c r="D294" s="45" t="n"/>
      <c r="E294" s="45" t="n"/>
      <c r="F294" s="45" t="n"/>
    </row>
    <row r="295">
      <c r="A295" s="16">
        <f>IF($B295="","",COUNTA($B$4:$B295))</f>
        <v/>
      </c>
      <c r="B295" s="72" t="n"/>
      <c r="C295" s="40" t="n"/>
      <c r="D295" s="47" t="n"/>
      <c r="E295" s="47" t="n"/>
      <c r="F295" s="47" t="n"/>
    </row>
    <row r="296">
      <c r="A296" s="16">
        <f>IF($B296="","",COUNTA($B$4:$B296))</f>
        <v/>
      </c>
      <c r="B296" s="71" t="n"/>
      <c r="C296" s="38" t="n"/>
      <c r="D296" s="45" t="n"/>
      <c r="E296" s="45" t="n"/>
      <c r="F296" s="45" t="n"/>
    </row>
    <row r="297">
      <c r="A297" s="16">
        <f>IF($B297="","",COUNTA($B$4:$B297))</f>
        <v/>
      </c>
      <c r="B297" s="72" t="n"/>
      <c r="C297" s="40" t="n"/>
      <c r="D297" s="47" t="n"/>
      <c r="E297" s="47" t="n"/>
      <c r="F297" s="47" t="n"/>
    </row>
    <row r="298">
      <c r="A298" s="16">
        <f>IF($B298="","",COUNTA($B$4:$B298))</f>
        <v/>
      </c>
      <c r="B298" s="71" t="n"/>
      <c r="C298" s="38" t="n"/>
      <c r="D298" s="45" t="n"/>
      <c r="E298" s="45" t="n"/>
      <c r="F298" s="45" t="n"/>
    </row>
    <row r="299">
      <c r="A299" s="16">
        <f>IF($B299="","",COUNTA($B$4:$B299))</f>
        <v/>
      </c>
      <c r="B299" s="72" t="n"/>
      <c r="C299" s="40" t="n"/>
      <c r="D299" s="47" t="n"/>
      <c r="E299" s="47" t="n"/>
      <c r="F299" s="47" t="n"/>
    </row>
    <row r="300">
      <c r="A300" s="16">
        <f>IF($B300="","",COUNTA($B$4:$B300))</f>
        <v/>
      </c>
      <c r="B300" s="71" t="n"/>
      <c r="C300" s="38" t="n"/>
      <c r="D300" s="45" t="n"/>
      <c r="E300" s="45" t="n"/>
      <c r="F300" s="45" t="n"/>
    </row>
    <row r="301">
      <c r="A301" s="16">
        <f>IF($B301="","",COUNTA($B$4:$B301))</f>
        <v/>
      </c>
      <c r="B301" s="72" t="n"/>
      <c r="C301" s="40" t="n"/>
      <c r="D301" s="47" t="n"/>
      <c r="E301" s="47" t="n"/>
      <c r="F301" s="47" t="n"/>
    </row>
    <row r="302">
      <c r="A302" s="16">
        <f>IF($B302="","",COUNTA($B$4:$B302))</f>
        <v/>
      </c>
      <c r="B302" s="71" t="n"/>
      <c r="C302" s="38" t="n"/>
      <c r="D302" s="45" t="n"/>
      <c r="E302" s="45" t="n"/>
      <c r="F302" s="45" t="n"/>
    </row>
    <row r="303">
      <c r="A303" s="16">
        <f>IF($B303="","",COUNTA($B$4:$B303))</f>
        <v/>
      </c>
      <c r="B303" s="72" t="n"/>
      <c r="C303" s="40" t="n"/>
      <c r="D303" s="47" t="n"/>
      <c r="E303" s="47" t="n"/>
      <c r="F303" s="47" t="n"/>
    </row>
    <row r="304">
      <c r="A304" s="16">
        <f>IF($B304="","",COUNTA($B$4:$B304))</f>
        <v/>
      </c>
      <c r="B304" s="71" t="n"/>
      <c r="C304" s="38" t="n"/>
      <c r="D304" s="45" t="n"/>
      <c r="E304" s="45" t="n"/>
      <c r="F304" s="45" t="n"/>
    </row>
    <row r="305">
      <c r="A305" s="16">
        <f>IF($B305="","",COUNTA($B$4:$B305))</f>
        <v/>
      </c>
      <c r="B305" s="72" t="n"/>
      <c r="C305" s="40" t="n"/>
      <c r="D305" s="47" t="n"/>
      <c r="E305" s="47" t="n"/>
      <c r="F305" s="47" t="n"/>
    </row>
    <row r="306">
      <c r="A306" s="16">
        <f>IF($B306="","",COUNTA($B$4:$B306))</f>
        <v/>
      </c>
      <c r="B306" s="71" t="n"/>
      <c r="C306" s="38" t="n"/>
      <c r="D306" s="45" t="n"/>
      <c r="E306" s="45" t="n"/>
      <c r="F306" s="45" t="n"/>
    </row>
    <row r="307">
      <c r="A307" s="16">
        <f>IF($B307="","",COUNTA($B$4:$B307))</f>
        <v/>
      </c>
      <c r="B307" s="72" t="n"/>
      <c r="C307" s="40" t="n"/>
      <c r="D307" s="47" t="n"/>
      <c r="E307" s="47" t="n"/>
      <c r="F307" s="47" t="n"/>
    </row>
    <row r="308">
      <c r="A308" s="16">
        <f>IF($B308="","",COUNTA($B$4:$B308))</f>
        <v/>
      </c>
      <c r="B308" s="71" t="n"/>
      <c r="C308" s="38" t="n"/>
      <c r="D308" s="45" t="n"/>
      <c r="E308" s="45" t="n"/>
      <c r="F308" s="45" t="n"/>
    </row>
    <row r="309">
      <c r="A309" s="16">
        <f>IF($B309="","",COUNTA($B$4:$B309))</f>
        <v/>
      </c>
      <c r="B309" s="72" t="n"/>
      <c r="C309" s="40" t="n"/>
      <c r="D309" s="47" t="n"/>
      <c r="E309" s="47" t="n"/>
      <c r="F309" s="47" t="n"/>
    </row>
    <row r="310">
      <c r="A310" s="16">
        <f>IF($B310="","",COUNTA($B$4:$B310))</f>
        <v/>
      </c>
      <c r="B310" s="71" t="n"/>
      <c r="C310" s="38" t="n"/>
      <c r="D310" s="45" t="n"/>
      <c r="E310" s="45" t="n"/>
      <c r="F310" s="45" t="n"/>
    </row>
    <row r="311">
      <c r="A311" s="16">
        <f>IF($B311="","",COUNTA($B$4:$B311))</f>
        <v/>
      </c>
      <c r="B311" s="72" t="n"/>
      <c r="C311" s="40" t="n"/>
      <c r="D311" s="47" t="n"/>
      <c r="E311" s="47" t="n"/>
      <c r="F311" s="47" t="n"/>
    </row>
    <row r="312">
      <c r="A312" s="16">
        <f>IF($B312="","",COUNTA($B$4:$B312))</f>
        <v/>
      </c>
      <c r="B312" s="71" t="n"/>
      <c r="C312" s="38" t="n"/>
      <c r="D312" s="45" t="n"/>
      <c r="E312" s="45" t="n"/>
      <c r="F312" s="45" t="n"/>
    </row>
    <row r="313">
      <c r="A313" s="16">
        <f>IF($B313="","",COUNTA($B$4:$B313))</f>
        <v/>
      </c>
      <c r="B313" s="72" t="n"/>
      <c r="C313" s="40" t="n"/>
      <c r="D313" s="47" t="n"/>
      <c r="E313" s="47" t="n"/>
      <c r="F313" s="47" t="n"/>
    </row>
    <row r="314">
      <c r="A314" s="16">
        <f>IF($B314="","",COUNTA($B$4:$B314))</f>
        <v/>
      </c>
      <c r="B314" s="71" t="n"/>
      <c r="C314" s="38" t="n"/>
      <c r="D314" s="45" t="n"/>
      <c r="E314" s="45" t="n"/>
      <c r="F314" s="45" t="n"/>
    </row>
    <row r="315">
      <c r="A315" s="16">
        <f>IF($B315="","",COUNTA($B$4:$B315))</f>
        <v/>
      </c>
      <c r="B315" s="72" t="n"/>
      <c r="C315" s="40" t="n"/>
      <c r="D315" s="47" t="n"/>
      <c r="E315" s="47" t="n"/>
      <c r="F315" s="47" t="n"/>
    </row>
    <row r="316">
      <c r="A316" s="16">
        <f>IF($B316="","",COUNTA($B$4:$B316))</f>
        <v/>
      </c>
      <c r="B316" s="71" t="n"/>
      <c r="C316" s="38" t="n"/>
      <c r="D316" s="45" t="n"/>
      <c r="E316" s="45" t="n"/>
      <c r="F316" s="45" t="n"/>
    </row>
    <row r="317">
      <c r="A317" s="16">
        <f>IF($B317="","",COUNTA($B$4:$B317))</f>
        <v/>
      </c>
      <c r="B317" s="72" t="n"/>
      <c r="C317" s="40" t="n"/>
      <c r="D317" s="47" t="n"/>
      <c r="E317" s="47" t="n"/>
      <c r="F317" s="47" t="n"/>
    </row>
    <row r="318">
      <c r="A318" s="16">
        <f>IF($B318="","",COUNTA($B$4:$B318))</f>
        <v/>
      </c>
      <c r="B318" s="71" t="n"/>
      <c r="C318" s="38" t="n"/>
      <c r="D318" s="45" t="n"/>
      <c r="E318" s="45" t="n"/>
      <c r="F318" s="45" t="n"/>
    </row>
    <row r="319">
      <c r="A319" s="16">
        <f>IF($B319="","",COUNTA($B$4:$B319))</f>
        <v/>
      </c>
      <c r="B319" s="72" t="n"/>
      <c r="C319" s="40" t="n"/>
      <c r="D319" s="47" t="n"/>
      <c r="E319" s="47" t="n"/>
      <c r="F319" s="47" t="n"/>
    </row>
    <row r="320">
      <c r="A320" s="16">
        <f>IF($B320="","",COUNTA($B$4:$B320))</f>
        <v/>
      </c>
      <c r="B320" s="71" t="n"/>
      <c r="C320" s="38" t="n"/>
      <c r="D320" s="45" t="n"/>
      <c r="E320" s="45" t="n"/>
      <c r="F320" s="45" t="n"/>
    </row>
    <row r="321">
      <c r="A321" s="16">
        <f>IF($B321="","",COUNTA($B$4:$B321))</f>
        <v/>
      </c>
      <c r="B321" s="72" t="n"/>
      <c r="C321" s="40" t="n"/>
      <c r="D321" s="47" t="n"/>
      <c r="E321" s="47" t="n"/>
      <c r="F321" s="47" t="n"/>
    </row>
    <row r="322">
      <c r="A322" s="16">
        <f>IF($B322="","",COUNTA($B$4:$B322))</f>
        <v/>
      </c>
      <c r="B322" s="71" t="n"/>
      <c r="C322" s="38" t="n"/>
      <c r="D322" s="45" t="n"/>
      <c r="E322" s="45" t="n"/>
      <c r="F322" s="45" t="n"/>
    </row>
    <row r="323">
      <c r="A323" s="16">
        <f>IF($B323="","",COUNTA($B$4:$B323))</f>
        <v/>
      </c>
      <c r="B323" s="72" t="n"/>
      <c r="C323" s="40" t="n"/>
      <c r="D323" s="47" t="n"/>
      <c r="E323" s="47" t="n"/>
      <c r="F323" s="47" t="n"/>
    </row>
    <row r="324">
      <c r="A324" s="16">
        <f>IF($B324="","",COUNTA($B$4:$B324))</f>
        <v/>
      </c>
      <c r="B324" s="71" t="n"/>
      <c r="C324" s="38" t="n"/>
      <c r="D324" s="45" t="n"/>
      <c r="E324" s="45" t="n"/>
      <c r="F324" s="45" t="n"/>
    </row>
    <row r="325">
      <c r="A325" s="16">
        <f>IF($B325="","",COUNTA($B$4:$B325))</f>
        <v/>
      </c>
      <c r="B325" s="72" t="n"/>
      <c r="C325" s="40" t="n"/>
      <c r="D325" s="47" t="n"/>
      <c r="E325" s="47" t="n"/>
      <c r="F325" s="47" t="n"/>
    </row>
    <row r="326">
      <c r="A326" s="16">
        <f>IF($B326="","",COUNTA($B$4:$B326))</f>
        <v/>
      </c>
      <c r="B326" s="71" t="n"/>
      <c r="C326" s="38" t="n"/>
      <c r="D326" s="45" t="n"/>
      <c r="E326" s="45" t="n"/>
      <c r="F326" s="45" t="n"/>
    </row>
    <row r="327">
      <c r="A327" s="16">
        <f>IF($B327="","",COUNTA($B$4:$B327))</f>
        <v/>
      </c>
      <c r="B327" s="72" t="n"/>
      <c r="C327" s="40" t="n"/>
      <c r="D327" s="47" t="n"/>
      <c r="E327" s="47" t="n"/>
      <c r="F327" s="47" t="n"/>
    </row>
    <row r="328">
      <c r="A328" s="16">
        <f>IF($B328="","",COUNTA($B$4:$B328))</f>
        <v/>
      </c>
      <c r="B328" s="71" t="n"/>
      <c r="C328" s="38" t="n"/>
      <c r="D328" s="45" t="n"/>
      <c r="E328" s="45" t="n"/>
      <c r="F328" s="45" t="n"/>
    </row>
    <row r="329">
      <c r="A329" s="16">
        <f>IF($B329="","",COUNTA($B$4:$B329))</f>
        <v/>
      </c>
      <c r="B329" s="72" t="n"/>
      <c r="C329" s="40" t="n"/>
      <c r="D329" s="47" t="n"/>
      <c r="E329" s="47" t="n"/>
      <c r="F329" s="47" t="n"/>
    </row>
    <row r="330">
      <c r="A330" s="16">
        <f>IF($B330="","",COUNTA($B$4:$B330))</f>
        <v/>
      </c>
      <c r="B330" s="71" t="n"/>
      <c r="C330" s="38" t="n"/>
      <c r="D330" s="45" t="n"/>
      <c r="E330" s="45" t="n"/>
      <c r="F330" s="45" t="n"/>
    </row>
    <row r="331">
      <c r="A331" s="16">
        <f>IF($B331="","",COUNTA($B$4:$B331))</f>
        <v/>
      </c>
      <c r="B331" s="72" t="n"/>
      <c r="C331" s="40" t="n"/>
      <c r="D331" s="47" t="n"/>
      <c r="E331" s="47" t="n"/>
      <c r="F331" s="47" t="n"/>
    </row>
    <row r="332">
      <c r="A332" s="16">
        <f>IF($B332="","",COUNTA($B$4:$B332))</f>
        <v/>
      </c>
      <c r="B332" s="71" t="n"/>
      <c r="C332" s="38" t="n"/>
      <c r="D332" s="45" t="n"/>
      <c r="E332" s="45" t="n"/>
      <c r="F332" s="45" t="n"/>
    </row>
    <row r="333">
      <c r="A333" s="16">
        <f>IF($B333="","",COUNTA($B$4:$B333))</f>
        <v/>
      </c>
      <c r="B333" s="72" t="n"/>
      <c r="C333" s="40" t="n"/>
      <c r="D333" s="47" t="n"/>
      <c r="E333" s="47" t="n"/>
      <c r="F333" s="47" t="n"/>
    </row>
    <row r="334">
      <c r="A334" s="16">
        <f>IF($B334="","",COUNTA($B$4:$B334))</f>
        <v/>
      </c>
      <c r="B334" s="71" t="n"/>
      <c r="C334" s="38" t="n"/>
      <c r="D334" s="45" t="n"/>
      <c r="E334" s="45" t="n"/>
      <c r="F334" s="45" t="n"/>
    </row>
    <row r="335">
      <c r="A335" s="16">
        <f>IF($B335="","",COUNTA($B$4:$B335))</f>
        <v/>
      </c>
      <c r="B335" s="72" t="n"/>
      <c r="C335" s="40" t="n"/>
      <c r="D335" s="47" t="n"/>
      <c r="E335" s="47" t="n"/>
      <c r="F335" s="47" t="n"/>
    </row>
    <row r="336">
      <c r="A336" s="16">
        <f>IF($B336="","",COUNTA($B$4:$B336))</f>
        <v/>
      </c>
      <c r="B336" s="71" t="n"/>
      <c r="C336" s="38" t="n"/>
      <c r="D336" s="45" t="n"/>
      <c r="E336" s="45" t="n"/>
      <c r="F336" s="45" t="n"/>
    </row>
    <row r="337">
      <c r="A337" s="16">
        <f>IF($B337="","",COUNTA($B$4:$B337))</f>
        <v/>
      </c>
      <c r="B337" s="72" t="n"/>
      <c r="C337" s="40" t="n"/>
      <c r="D337" s="47" t="n"/>
      <c r="E337" s="47" t="n"/>
      <c r="F337" s="47" t="n"/>
    </row>
    <row r="338">
      <c r="A338" s="16">
        <f>IF($B338="","",COUNTA($B$4:$B338))</f>
        <v/>
      </c>
      <c r="B338" s="71" t="n"/>
      <c r="C338" s="38" t="n"/>
      <c r="D338" s="45" t="n"/>
      <c r="E338" s="45" t="n"/>
      <c r="F338" s="45" t="n"/>
    </row>
    <row r="339">
      <c r="A339" s="16">
        <f>IF($B339="","",COUNTA($B$4:$B339))</f>
        <v/>
      </c>
      <c r="B339" s="72" t="n"/>
      <c r="C339" s="40" t="n"/>
      <c r="D339" s="47" t="n"/>
      <c r="E339" s="47" t="n"/>
      <c r="F339" s="47" t="n"/>
    </row>
    <row r="340">
      <c r="A340" s="16">
        <f>IF($B340="","",COUNTA($B$4:$B340))</f>
        <v/>
      </c>
      <c r="B340" s="71" t="n"/>
      <c r="C340" s="38" t="n"/>
      <c r="D340" s="45" t="n"/>
      <c r="E340" s="45" t="n"/>
      <c r="F340" s="45" t="n"/>
    </row>
    <row r="341">
      <c r="A341" s="16">
        <f>IF($B341="","",COUNTA($B$4:$B341))</f>
        <v/>
      </c>
      <c r="B341" s="72" t="n"/>
      <c r="C341" s="40" t="n"/>
      <c r="D341" s="47" t="n"/>
      <c r="E341" s="47" t="n"/>
      <c r="F341" s="47" t="n"/>
    </row>
    <row r="342">
      <c r="A342" s="16">
        <f>IF($B342="","",COUNTA($B$4:$B342))</f>
        <v/>
      </c>
      <c r="B342" s="71" t="n"/>
      <c r="C342" s="38" t="n"/>
      <c r="D342" s="45" t="n"/>
      <c r="E342" s="45" t="n"/>
      <c r="F342" s="45" t="n"/>
    </row>
    <row r="343">
      <c r="A343" s="16">
        <f>IF($B343="","",COUNTA($B$4:$B343))</f>
        <v/>
      </c>
      <c r="B343" s="72" t="n"/>
      <c r="C343" s="40" t="n"/>
      <c r="D343" s="47" t="n"/>
      <c r="E343" s="47" t="n"/>
      <c r="F343" s="47" t="n"/>
    </row>
    <row r="344">
      <c r="A344" s="16">
        <f>IF($B344="","",COUNTA($B$4:$B344))</f>
        <v/>
      </c>
      <c r="B344" s="71" t="n"/>
      <c r="C344" s="38" t="n"/>
      <c r="D344" s="45" t="n"/>
      <c r="E344" s="45" t="n"/>
      <c r="F344" s="45" t="n"/>
    </row>
    <row r="345">
      <c r="A345" s="16">
        <f>IF($B345="","",COUNTA($B$4:$B345))</f>
        <v/>
      </c>
      <c r="B345" s="72" t="n"/>
      <c r="C345" s="40" t="n"/>
      <c r="D345" s="47" t="n"/>
      <c r="E345" s="47" t="n"/>
      <c r="F345" s="47" t="n"/>
    </row>
    <row r="346">
      <c r="A346" s="16">
        <f>IF($B346="","",COUNTA($B$4:$B346))</f>
        <v/>
      </c>
      <c r="B346" s="71" t="n"/>
      <c r="C346" s="38" t="n"/>
      <c r="D346" s="45" t="n"/>
      <c r="E346" s="45" t="n"/>
      <c r="F346" s="45" t="n"/>
    </row>
    <row r="347">
      <c r="A347" s="16">
        <f>IF($B347="","",COUNTA($B$4:$B347))</f>
        <v/>
      </c>
      <c r="B347" s="72" t="n"/>
      <c r="C347" s="40" t="n"/>
      <c r="D347" s="47" t="n"/>
      <c r="E347" s="47" t="n"/>
      <c r="F347" s="47" t="n"/>
    </row>
    <row r="348">
      <c r="A348" s="16">
        <f>IF($B348="","",COUNTA($B$4:$B348))</f>
        <v/>
      </c>
      <c r="B348" s="71" t="n"/>
      <c r="C348" s="38" t="n"/>
      <c r="D348" s="45" t="n"/>
      <c r="E348" s="45" t="n"/>
      <c r="F348" s="45" t="n"/>
    </row>
    <row r="349">
      <c r="A349" s="16">
        <f>IF($B349="","",COUNTA($B$4:$B349))</f>
        <v/>
      </c>
      <c r="B349" s="72" t="n"/>
      <c r="C349" s="40" t="n"/>
      <c r="D349" s="47" t="n"/>
      <c r="E349" s="47" t="n"/>
      <c r="F349" s="47" t="n"/>
    </row>
    <row r="350">
      <c r="A350" s="16">
        <f>IF($B350="","",COUNTA($B$4:$B350))</f>
        <v/>
      </c>
      <c r="B350" s="71" t="n"/>
      <c r="C350" s="38" t="n"/>
      <c r="D350" s="45" t="n"/>
      <c r="E350" s="45" t="n"/>
      <c r="F350" s="45" t="n"/>
    </row>
    <row r="351">
      <c r="A351" s="16">
        <f>IF($B351="","",COUNTA($B$4:$B351))</f>
        <v/>
      </c>
      <c r="B351" s="72" t="n"/>
      <c r="C351" s="40" t="n"/>
      <c r="D351" s="47" t="n"/>
      <c r="E351" s="47" t="n"/>
      <c r="F351" s="47" t="n"/>
    </row>
    <row r="352">
      <c r="A352" s="16">
        <f>IF($B352="","",COUNTA($B$4:$B352))</f>
        <v/>
      </c>
      <c r="B352" s="71" t="n"/>
      <c r="C352" s="38" t="n"/>
      <c r="D352" s="45" t="n"/>
      <c r="E352" s="45" t="n"/>
      <c r="F352" s="45" t="n"/>
    </row>
    <row r="353">
      <c r="A353" s="16">
        <f>IF($B353="","",COUNTA($B$4:$B353))</f>
        <v/>
      </c>
      <c r="B353" s="72" t="n"/>
      <c r="C353" s="40" t="n"/>
      <c r="D353" s="47" t="n"/>
      <c r="E353" s="47" t="n"/>
      <c r="F353" s="47" t="n"/>
    </row>
    <row r="354">
      <c r="A354" s="16">
        <f>IF($B354="","",COUNTA($B$4:$B354))</f>
        <v/>
      </c>
      <c r="B354" s="71" t="n"/>
      <c r="C354" s="38" t="n"/>
      <c r="D354" s="45" t="n"/>
      <c r="E354" s="45" t="n"/>
      <c r="F354" s="45" t="n"/>
    </row>
    <row r="355">
      <c r="A355" s="16">
        <f>IF($B355="","",COUNTA($B$4:$B355))</f>
        <v/>
      </c>
      <c r="B355" s="72" t="n"/>
      <c r="C355" s="40" t="n"/>
      <c r="D355" s="47" t="n"/>
      <c r="E355" s="47" t="n"/>
      <c r="F355" s="47" t="n"/>
    </row>
    <row r="356">
      <c r="A356" s="16">
        <f>IF($B356="","",COUNTA($B$4:$B356))</f>
        <v/>
      </c>
      <c r="B356" s="71" t="n"/>
      <c r="C356" s="38" t="n"/>
      <c r="D356" s="45" t="n"/>
      <c r="E356" s="45" t="n"/>
      <c r="F356" s="45" t="n"/>
    </row>
    <row r="357">
      <c r="A357" s="16">
        <f>IF($B357="","",COUNTA($B$4:$B357))</f>
        <v/>
      </c>
      <c r="B357" s="72" t="n"/>
      <c r="C357" s="40" t="n"/>
      <c r="D357" s="47" t="n"/>
      <c r="E357" s="47" t="n"/>
      <c r="F357" s="47" t="n"/>
    </row>
    <row r="358">
      <c r="A358" s="16">
        <f>IF($B358="","",COUNTA($B$4:$B358))</f>
        <v/>
      </c>
      <c r="B358" s="71" t="n"/>
      <c r="C358" s="38" t="n"/>
      <c r="D358" s="45" t="n"/>
      <c r="E358" s="45" t="n"/>
      <c r="F358" s="45" t="n"/>
    </row>
    <row r="359">
      <c r="A359" s="16">
        <f>IF($B359="","",COUNTA($B$4:$B359))</f>
        <v/>
      </c>
      <c r="B359" s="72" t="n"/>
      <c r="C359" s="40" t="n"/>
      <c r="D359" s="47" t="n"/>
      <c r="E359" s="47" t="n"/>
      <c r="F359" s="47" t="n"/>
    </row>
    <row r="360">
      <c r="A360" s="16">
        <f>IF($B360="","",COUNTA($B$4:$B360))</f>
        <v/>
      </c>
      <c r="B360" s="71" t="n"/>
      <c r="C360" s="38" t="n"/>
      <c r="D360" s="45" t="n"/>
      <c r="E360" s="45" t="n"/>
      <c r="F360" s="45" t="n"/>
    </row>
    <row r="361">
      <c r="A361" s="16">
        <f>IF($B361="","",COUNTA($B$4:$B361))</f>
        <v/>
      </c>
      <c r="B361" s="72" t="n"/>
      <c r="C361" s="40" t="n"/>
      <c r="D361" s="47" t="n"/>
      <c r="E361" s="47" t="n"/>
      <c r="F361" s="47" t="n"/>
    </row>
    <row r="362">
      <c r="A362" s="16">
        <f>IF($B362="","",COUNTA($B$4:$B362))</f>
        <v/>
      </c>
      <c r="B362" s="71" t="n"/>
      <c r="C362" s="38" t="n"/>
      <c r="D362" s="45" t="n"/>
      <c r="E362" s="45" t="n"/>
      <c r="F362" s="45" t="n"/>
    </row>
    <row r="363">
      <c r="A363" s="16">
        <f>IF($B363="","",COUNTA($B$4:$B363))</f>
        <v/>
      </c>
      <c r="B363" s="72" t="n"/>
      <c r="C363" s="40" t="n"/>
      <c r="D363" s="47" t="n"/>
      <c r="E363" s="47" t="n"/>
      <c r="F363" s="47" t="n"/>
    </row>
    <row r="364">
      <c r="A364" s="16">
        <f>IF($B364="","",COUNTA($B$4:$B364))</f>
        <v/>
      </c>
      <c r="B364" s="71" t="n"/>
      <c r="C364" s="38" t="n"/>
      <c r="D364" s="45" t="n"/>
      <c r="E364" s="45" t="n"/>
      <c r="F364" s="45" t="n"/>
    </row>
    <row r="365">
      <c r="A365" s="16">
        <f>IF($B365="","",COUNTA($B$4:$B365))</f>
        <v/>
      </c>
      <c r="B365" s="72" t="n"/>
      <c r="C365" s="40" t="n"/>
      <c r="D365" s="47" t="n"/>
      <c r="E365" s="47" t="n"/>
      <c r="F365" s="47" t="n"/>
    </row>
    <row r="366">
      <c r="A366" s="16">
        <f>IF($B366="","",COUNTA($B$4:$B366))</f>
        <v/>
      </c>
      <c r="B366" s="71" t="n"/>
      <c r="C366" s="38" t="n"/>
      <c r="D366" s="45" t="n"/>
      <c r="E366" s="45" t="n"/>
      <c r="F366" s="45" t="n"/>
    </row>
    <row r="367">
      <c r="A367" s="16">
        <f>IF($B367="","",COUNTA($B$4:$B367))</f>
        <v/>
      </c>
      <c r="B367" s="72" t="n"/>
      <c r="C367" s="40" t="n"/>
      <c r="D367" s="47" t="n"/>
      <c r="E367" s="47" t="n"/>
      <c r="F367" s="47" t="n"/>
    </row>
    <row r="368">
      <c r="A368" s="16">
        <f>IF($B368="","",COUNTA($B$4:$B368))</f>
        <v/>
      </c>
      <c r="B368" s="71" t="n"/>
      <c r="C368" s="38" t="n"/>
      <c r="D368" s="45" t="n"/>
      <c r="E368" s="45" t="n"/>
      <c r="F368" s="45" t="n"/>
    </row>
    <row r="369">
      <c r="A369" s="16">
        <f>IF($B369="","",COUNTA($B$4:$B369))</f>
        <v/>
      </c>
      <c r="B369" s="72" t="n"/>
      <c r="C369" s="40" t="n"/>
      <c r="D369" s="47" t="n"/>
      <c r="E369" s="47" t="n"/>
      <c r="F369" s="47" t="n"/>
    </row>
    <row r="370">
      <c r="A370" s="16">
        <f>IF($B370="","",COUNTA($B$4:$B370))</f>
        <v/>
      </c>
      <c r="B370" s="71" t="n"/>
      <c r="C370" s="38" t="n"/>
      <c r="D370" s="45" t="n"/>
      <c r="E370" s="45" t="n"/>
      <c r="F370" s="45" t="n"/>
    </row>
    <row r="371">
      <c r="A371" s="16">
        <f>IF($B371="","",COUNTA($B$4:$B371))</f>
        <v/>
      </c>
      <c r="B371" s="72" t="n"/>
      <c r="C371" s="40" t="n"/>
      <c r="D371" s="47" t="n"/>
      <c r="E371" s="47" t="n"/>
      <c r="F371" s="47" t="n"/>
    </row>
    <row r="372">
      <c r="A372" s="16">
        <f>IF($B372="","",COUNTA($B$4:$B372))</f>
        <v/>
      </c>
      <c r="B372" s="71" t="n"/>
      <c r="C372" s="38" t="n"/>
      <c r="D372" s="45" t="n"/>
      <c r="E372" s="45" t="n"/>
      <c r="F372" s="45" t="n"/>
    </row>
    <row r="373">
      <c r="A373" s="16">
        <f>IF($B373="","",COUNTA($B$4:$B373))</f>
        <v/>
      </c>
      <c r="B373" s="72" t="n"/>
      <c r="C373" s="40" t="n"/>
      <c r="D373" s="47" t="n"/>
      <c r="E373" s="47" t="n"/>
      <c r="F373" s="47" t="n"/>
    </row>
    <row r="374">
      <c r="A374" s="16">
        <f>IF($B374="","",COUNTA($B$4:$B374))</f>
        <v/>
      </c>
      <c r="B374" s="71" t="n"/>
      <c r="C374" s="38" t="n"/>
      <c r="D374" s="45" t="n"/>
      <c r="E374" s="45" t="n"/>
      <c r="F374" s="45" t="n"/>
    </row>
    <row r="375">
      <c r="A375" s="16">
        <f>IF($B375="","",COUNTA($B$4:$B375))</f>
        <v/>
      </c>
      <c r="B375" s="72" t="n"/>
      <c r="C375" s="40" t="n"/>
      <c r="D375" s="47" t="n"/>
      <c r="E375" s="47" t="n"/>
      <c r="F375" s="47" t="n"/>
    </row>
    <row r="376">
      <c r="A376" s="16">
        <f>IF($B376="","",COUNTA($B$4:$B376))</f>
        <v/>
      </c>
      <c r="B376" s="71" t="n"/>
      <c r="C376" s="38" t="n"/>
      <c r="D376" s="45" t="n"/>
      <c r="E376" s="45" t="n"/>
      <c r="F376" s="45" t="n"/>
    </row>
    <row r="377">
      <c r="A377" s="16">
        <f>IF($B377="","",COUNTA($B$4:$B377))</f>
        <v/>
      </c>
      <c r="B377" s="72" t="n"/>
      <c r="C377" s="40" t="n"/>
      <c r="D377" s="47" t="n"/>
      <c r="E377" s="47" t="n"/>
      <c r="F377" s="47" t="n"/>
    </row>
    <row r="378">
      <c r="A378" s="16">
        <f>IF($B378="","",COUNTA($B$4:$B378))</f>
        <v/>
      </c>
      <c r="B378" s="71" t="n"/>
      <c r="C378" s="38" t="n"/>
      <c r="D378" s="45" t="n"/>
      <c r="E378" s="45" t="n"/>
      <c r="F378" s="45" t="n"/>
    </row>
    <row r="379">
      <c r="A379" s="16">
        <f>IF($B379="","",COUNTA($B$4:$B379))</f>
        <v/>
      </c>
      <c r="B379" s="72" t="n"/>
      <c r="C379" s="40" t="n"/>
      <c r="D379" s="47" t="n"/>
      <c r="E379" s="47" t="n"/>
      <c r="F379" s="47" t="n"/>
    </row>
    <row r="380">
      <c r="A380" s="16">
        <f>IF($B380="","",COUNTA($B$4:$B380))</f>
        <v/>
      </c>
      <c r="B380" s="71" t="n"/>
      <c r="C380" s="38" t="n"/>
      <c r="D380" s="45" t="n"/>
      <c r="E380" s="45" t="n"/>
      <c r="F380" s="45" t="n"/>
    </row>
    <row r="381">
      <c r="A381" s="16">
        <f>IF($B381="","",COUNTA($B$4:$B381))</f>
        <v/>
      </c>
      <c r="B381" s="72" t="n"/>
      <c r="C381" s="40" t="n"/>
      <c r="D381" s="47" t="n"/>
      <c r="E381" s="47" t="n"/>
      <c r="F381" s="47" t="n"/>
    </row>
    <row r="382">
      <c r="A382" s="16">
        <f>IF($B382="","",COUNTA($B$4:$B382))</f>
        <v/>
      </c>
      <c r="B382" s="71" t="n"/>
      <c r="C382" s="38" t="n"/>
      <c r="D382" s="45" t="n"/>
      <c r="E382" s="45" t="n"/>
      <c r="F382" s="45" t="n"/>
    </row>
    <row r="383">
      <c r="A383" s="16">
        <f>IF($B383="","",COUNTA($B$4:$B383))</f>
        <v/>
      </c>
      <c r="B383" s="72" t="n"/>
      <c r="C383" s="40" t="n"/>
      <c r="D383" s="47" t="n"/>
      <c r="E383" s="47" t="n"/>
      <c r="F383" s="47" t="n"/>
    </row>
    <row r="384">
      <c r="A384" s="16">
        <f>IF($B384="","",COUNTA($B$4:$B384))</f>
        <v/>
      </c>
      <c r="B384" s="71" t="n"/>
      <c r="C384" s="38" t="n"/>
      <c r="D384" s="45" t="n"/>
      <c r="E384" s="45" t="n"/>
      <c r="F384" s="45" t="n"/>
    </row>
    <row r="385">
      <c r="A385" s="16">
        <f>IF($B385="","",COUNTA($B$4:$B385))</f>
        <v/>
      </c>
      <c r="B385" s="72" t="n"/>
      <c r="C385" s="40" t="n"/>
      <c r="D385" s="47" t="n"/>
      <c r="E385" s="47" t="n"/>
      <c r="F385" s="47" t="n"/>
    </row>
    <row r="386">
      <c r="A386" s="16">
        <f>IF($B386="","",COUNTA($B$4:$B386))</f>
        <v/>
      </c>
      <c r="B386" s="71" t="n"/>
      <c r="C386" s="38" t="n"/>
      <c r="D386" s="45" t="n"/>
      <c r="E386" s="45" t="n"/>
      <c r="F386" s="45" t="n"/>
    </row>
    <row r="387">
      <c r="A387" s="16">
        <f>IF($B387="","",COUNTA($B$4:$B387))</f>
        <v/>
      </c>
      <c r="B387" s="72" t="n"/>
      <c r="C387" s="40" t="n"/>
      <c r="D387" s="47" t="n"/>
      <c r="E387" s="47" t="n"/>
      <c r="F387" s="47" t="n"/>
    </row>
    <row r="388">
      <c r="A388" s="16">
        <f>IF($B388="","",COUNTA($B$4:$B388))</f>
        <v/>
      </c>
      <c r="B388" s="71" t="n"/>
      <c r="C388" s="38" t="n"/>
      <c r="D388" s="45" t="n"/>
      <c r="E388" s="45" t="n"/>
      <c r="F388" s="45" t="n"/>
    </row>
    <row r="389">
      <c r="A389" s="16">
        <f>IF($B389="","",COUNTA($B$4:$B389))</f>
        <v/>
      </c>
      <c r="B389" s="72" t="n"/>
      <c r="C389" s="40" t="n"/>
      <c r="D389" s="47" t="n"/>
      <c r="E389" s="47" t="n"/>
      <c r="F389" s="47" t="n"/>
    </row>
    <row r="390">
      <c r="A390" s="16">
        <f>IF($B390="","",COUNTA($B$4:$B390))</f>
        <v/>
      </c>
      <c r="B390" s="71" t="n"/>
      <c r="C390" s="38" t="n"/>
      <c r="D390" s="45" t="n"/>
      <c r="E390" s="45" t="n"/>
      <c r="F390" s="45" t="n"/>
    </row>
    <row r="391">
      <c r="A391" s="16">
        <f>IF($B391="","",COUNTA($B$4:$B391))</f>
        <v/>
      </c>
      <c r="B391" s="72" t="n"/>
      <c r="C391" s="40" t="n"/>
      <c r="D391" s="47" t="n"/>
      <c r="E391" s="47" t="n"/>
      <c r="F391" s="47" t="n"/>
    </row>
    <row r="392">
      <c r="A392" s="16">
        <f>IF($B392="","",COUNTA($B$4:$B392))</f>
        <v/>
      </c>
      <c r="B392" s="71" t="n"/>
      <c r="C392" s="38" t="n"/>
      <c r="D392" s="45" t="n"/>
      <c r="E392" s="45" t="n"/>
      <c r="F392" s="45" t="n"/>
    </row>
    <row r="393">
      <c r="A393" s="16">
        <f>IF($B393="","",COUNTA($B$4:$B393))</f>
        <v/>
      </c>
      <c r="B393" s="72" t="n"/>
      <c r="C393" s="40" t="n"/>
      <c r="D393" s="47" t="n"/>
      <c r="E393" s="47" t="n"/>
      <c r="F393" s="47" t="n"/>
    </row>
    <row r="394">
      <c r="A394" s="16">
        <f>IF($B394="","",COUNTA($B$4:$B394))</f>
        <v/>
      </c>
      <c r="B394" s="71" t="n"/>
      <c r="C394" s="38" t="n"/>
      <c r="D394" s="45" t="n"/>
      <c r="E394" s="45" t="n"/>
      <c r="F394" s="45" t="n"/>
    </row>
    <row r="395">
      <c r="A395" s="16">
        <f>IF($B395="","",COUNTA($B$4:$B395))</f>
        <v/>
      </c>
      <c r="B395" s="72" t="n"/>
      <c r="C395" s="40" t="n"/>
      <c r="D395" s="47" t="n"/>
      <c r="E395" s="47" t="n"/>
      <c r="F395" s="47" t="n"/>
    </row>
    <row r="396">
      <c r="A396" s="16">
        <f>IF($B396="","",COUNTA($B$4:$B396))</f>
        <v/>
      </c>
      <c r="B396" s="71" t="n"/>
      <c r="C396" s="38" t="n"/>
      <c r="D396" s="45" t="n"/>
      <c r="E396" s="45" t="n"/>
      <c r="F396" s="45" t="n"/>
    </row>
    <row r="397">
      <c r="A397" s="16">
        <f>IF($B397="","",COUNTA($B$4:$B397))</f>
        <v/>
      </c>
      <c r="B397" s="72" t="n"/>
      <c r="C397" s="40" t="n"/>
      <c r="D397" s="47" t="n"/>
      <c r="E397" s="47" t="n"/>
      <c r="F397" s="47" t="n"/>
    </row>
    <row r="398">
      <c r="A398" s="16">
        <f>IF($B398="","",COUNTA($B$4:$B398))</f>
        <v/>
      </c>
      <c r="B398" s="71" t="n"/>
      <c r="C398" s="38" t="n"/>
      <c r="D398" s="45" t="n"/>
      <c r="E398" s="45" t="n"/>
      <c r="F398" s="45" t="n"/>
    </row>
    <row r="399">
      <c r="A399" s="16">
        <f>IF($B399="","",COUNTA($B$4:$B399))</f>
        <v/>
      </c>
      <c r="B399" s="72" t="n"/>
      <c r="C399" s="40" t="n"/>
      <c r="D399" s="47" t="n"/>
      <c r="E399" s="47" t="n"/>
      <c r="F399" s="47" t="n"/>
    </row>
    <row r="400">
      <c r="A400" s="16">
        <f>IF($B400="","",COUNTA($B$4:$B400))</f>
        <v/>
      </c>
      <c r="B400" s="71" t="n"/>
      <c r="C400" s="38" t="n"/>
      <c r="D400" s="45" t="n"/>
      <c r="E400" s="45" t="n"/>
      <c r="F400" s="45" t="n"/>
    </row>
    <row r="401">
      <c r="A401" s="16">
        <f>IF($B401="","",COUNTA($B$4:$B401))</f>
        <v/>
      </c>
      <c r="B401" s="72" t="n"/>
      <c r="C401" s="40" t="n"/>
      <c r="D401" s="47" t="n"/>
      <c r="E401" s="47" t="n"/>
      <c r="F401" s="47" t="n"/>
    </row>
    <row r="402">
      <c r="A402" s="16">
        <f>IF($B402="","",COUNTA($B$4:$B402))</f>
        <v/>
      </c>
      <c r="B402" s="71" t="n"/>
      <c r="C402" s="38" t="n"/>
      <c r="D402" s="45" t="n"/>
      <c r="E402" s="45" t="n"/>
      <c r="F402" s="45" t="n"/>
    </row>
    <row r="403">
      <c r="A403" s="16">
        <f>IF($B403="","",COUNTA($B$4:$B403))</f>
        <v/>
      </c>
      <c r="B403" s="72" t="n"/>
      <c r="C403" s="40" t="n"/>
      <c r="D403" s="47" t="n"/>
      <c r="E403" s="47" t="n"/>
      <c r="F403" s="47" t="n"/>
    </row>
    <row r="404">
      <c r="A404" s="16">
        <f>IF($B404="","",COUNTA($B$4:$B404))</f>
        <v/>
      </c>
      <c r="B404" s="71" t="n"/>
      <c r="C404" s="38" t="n"/>
      <c r="D404" s="45" t="n"/>
      <c r="E404" s="45" t="n"/>
      <c r="F404" s="45" t="n"/>
    </row>
    <row r="405">
      <c r="A405" s="16">
        <f>IF($B405="","",COUNTA($B$4:$B405))</f>
        <v/>
      </c>
      <c r="B405" s="72" t="n"/>
      <c r="C405" s="40" t="n"/>
      <c r="D405" s="47" t="n"/>
      <c r="E405" s="47" t="n"/>
      <c r="F405" s="47" t="n"/>
    </row>
    <row r="406">
      <c r="A406" s="16">
        <f>IF($B406="","",COUNTA($B$4:$B406))</f>
        <v/>
      </c>
      <c r="B406" s="71" t="n"/>
      <c r="C406" s="38" t="n"/>
      <c r="D406" s="45" t="n"/>
      <c r="E406" s="45" t="n"/>
      <c r="F406" s="45" t="n"/>
    </row>
    <row r="407">
      <c r="A407" s="16">
        <f>IF($B407="","",COUNTA($B$4:$B407))</f>
        <v/>
      </c>
      <c r="B407" s="72" t="n"/>
      <c r="C407" s="40" t="n"/>
      <c r="D407" s="47" t="n"/>
      <c r="E407" s="47" t="n"/>
      <c r="F407" s="47" t="n"/>
    </row>
    <row r="408">
      <c r="A408" s="16">
        <f>IF($B408="","",COUNTA($B$4:$B408))</f>
        <v/>
      </c>
      <c r="B408" s="71" t="n"/>
      <c r="C408" s="38" t="n"/>
      <c r="D408" s="45" t="n"/>
      <c r="E408" s="45" t="n"/>
      <c r="F408" s="45" t="n"/>
    </row>
    <row r="409">
      <c r="A409" s="16">
        <f>IF($B409="","",COUNTA($B$4:$B409))</f>
        <v/>
      </c>
      <c r="B409" s="72" t="n"/>
      <c r="C409" s="40" t="n"/>
      <c r="D409" s="47" t="n"/>
      <c r="E409" s="47" t="n"/>
      <c r="F409" s="47" t="n"/>
    </row>
    <row r="410">
      <c r="A410" s="16">
        <f>IF($B410="","",COUNTA($B$4:$B410))</f>
        <v/>
      </c>
      <c r="B410" s="71" t="n"/>
      <c r="C410" s="38" t="n"/>
      <c r="D410" s="45" t="n"/>
      <c r="E410" s="45" t="n"/>
      <c r="F410" s="45" t="n"/>
    </row>
    <row r="411">
      <c r="A411" s="16">
        <f>IF($B411="","",COUNTA($B$4:$B411))</f>
        <v/>
      </c>
      <c r="B411" s="72" t="n"/>
      <c r="C411" s="40" t="n"/>
      <c r="D411" s="47" t="n"/>
      <c r="E411" s="47" t="n"/>
      <c r="F411" s="47" t="n"/>
    </row>
    <row r="412">
      <c r="A412" s="16">
        <f>IF($B412="","",COUNTA($B$4:$B412))</f>
        <v/>
      </c>
      <c r="B412" s="71" t="n"/>
      <c r="C412" s="38" t="n"/>
      <c r="D412" s="45" t="n"/>
      <c r="E412" s="45" t="n"/>
      <c r="F412" s="45" t="n"/>
    </row>
    <row r="413">
      <c r="A413" s="16">
        <f>IF($B413="","",COUNTA($B$4:$B413))</f>
        <v/>
      </c>
      <c r="B413" s="72" t="n"/>
      <c r="C413" s="40" t="n"/>
      <c r="D413" s="47" t="n"/>
      <c r="E413" s="47" t="n"/>
      <c r="F413" s="47" t="n"/>
    </row>
    <row r="414">
      <c r="A414" s="16">
        <f>IF($B414="","",COUNTA($B$4:$B414))</f>
        <v/>
      </c>
      <c r="B414" s="71" t="n"/>
      <c r="C414" s="38" t="n"/>
      <c r="D414" s="45" t="n"/>
      <c r="E414" s="45" t="n"/>
      <c r="F414" s="45" t="n"/>
    </row>
    <row r="415">
      <c r="A415" s="16">
        <f>IF($B415="","",COUNTA($B$4:$B415))</f>
        <v/>
      </c>
      <c r="B415" s="72" t="n"/>
      <c r="C415" s="40" t="n"/>
      <c r="D415" s="47" t="n"/>
      <c r="E415" s="47" t="n"/>
      <c r="F415" s="47" t="n"/>
    </row>
    <row r="416">
      <c r="A416" s="16">
        <f>IF($B416="","",COUNTA($B$4:$B416))</f>
        <v/>
      </c>
      <c r="B416" s="71" t="n"/>
      <c r="C416" s="38" t="n"/>
      <c r="D416" s="45" t="n"/>
      <c r="E416" s="45" t="n"/>
      <c r="F416" s="45" t="n"/>
    </row>
    <row r="417">
      <c r="A417" s="16">
        <f>IF($B417="","",COUNTA($B$4:$B417))</f>
        <v/>
      </c>
      <c r="B417" s="72" t="n"/>
      <c r="C417" s="40" t="n"/>
      <c r="D417" s="47" t="n"/>
      <c r="E417" s="47" t="n"/>
      <c r="F417" s="47" t="n"/>
    </row>
    <row r="418">
      <c r="A418" s="16">
        <f>IF($B418="","",COUNTA($B$4:$B418))</f>
        <v/>
      </c>
      <c r="B418" s="71" t="n"/>
      <c r="C418" s="38" t="n"/>
      <c r="D418" s="45" t="n"/>
      <c r="E418" s="45" t="n"/>
      <c r="F418" s="45" t="n"/>
    </row>
    <row r="419">
      <c r="A419" s="16">
        <f>IF($B419="","",COUNTA($B$4:$B419))</f>
        <v/>
      </c>
      <c r="B419" s="72" t="n"/>
      <c r="C419" s="40" t="n"/>
      <c r="D419" s="47" t="n"/>
      <c r="E419" s="47" t="n"/>
      <c r="F419" s="47" t="n"/>
    </row>
    <row r="420">
      <c r="A420" s="16">
        <f>IF($B420="","",COUNTA($B$4:$B420))</f>
        <v/>
      </c>
      <c r="B420" s="71" t="n"/>
      <c r="C420" s="38" t="n"/>
      <c r="D420" s="45" t="n"/>
      <c r="E420" s="45" t="n"/>
      <c r="F420" s="45" t="n"/>
    </row>
    <row r="421">
      <c r="A421" s="16">
        <f>IF($B421="","",COUNTA($B$4:$B421))</f>
        <v/>
      </c>
      <c r="B421" s="72" t="n"/>
      <c r="C421" s="40" t="n"/>
      <c r="D421" s="47" t="n"/>
      <c r="E421" s="47" t="n"/>
      <c r="F421" s="47" t="n"/>
    </row>
    <row r="422">
      <c r="A422" s="16">
        <f>IF($B422="","",COUNTA($B$4:$B422))</f>
        <v/>
      </c>
      <c r="B422" s="71" t="n"/>
      <c r="C422" s="38" t="n"/>
      <c r="D422" s="45" t="n"/>
      <c r="E422" s="45" t="n"/>
      <c r="F422" s="45" t="n"/>
    </row>
    <row r="423">
      <c r="A423" s="16">
        <f>IF($B423="","",COUNTA($B$4:$B423))</f>
        <v/>
      </c>
      <c r="B423" s="72" t="n"/>
      <c r="C423" s="40" t="n"/>
      <c r="D423" s="47" t="n"/>
      <c r="E423" s="47" t="n"/>
      <c r="F423" s="47" t="n"/>
    </row>
    <row r="424">
      <c r="A424" s="16">
        <f>IF($B424="","",COUNTA($B$4:$B424))</f>
        <v/>
      </c>
      <c r="B424" s="71" t="n"/>
      <c r="C424" s="38" t="n"/>
      <c r="D424" s="45" t="n"/>
      <c r="E424" s="45" t="n"/>
      <c r="F424" s="45" t="n"/>
    </row>
    <row r="425">
      <c r="A425" s="16">
        <f>IF($B425="","",COUNTA($B$4:$B425))</f>
        <v/>
      </c>
      <c r="B425" s="72" t="n"/>
      <c r="C425" s="40" t="n"/>
      <c r="D425" s="47" t="n"/>
      <c r="E425" s="47" t="n"/>
      <c r="F425" s="47" t="n"/>
    </row>
    <row r="426">
      <c r="A426" s="16">
        <f>IF($B426="","",COUNTA($B$4:$B426))</f>
        <v/>
      </c>
      <c r="B426" s="71" t="n"/>
      <c r="C426" s="38" t="n"/>
      <c r="D426" s="45" t="n"/>
      <c r="E426" s="45" t="n"/>
      <c r="F426" s="45" t="n"/>
    </row>
    <row r="427">
      <c r="A427" s="16">
        <f>IF($B427="","",COUNTA($B$4:$B427))</f>
        <v/>
      </c>
      <c r="B427" s="72" t="n"/>
      <c r="C427" s="40" t="n"/>
      <c r="D427" s="47" t="n"/>
      <c r="E427" s="47" t="n"/>
      <c r="F427" s="47" t="n"/>
    </row>
    <row r="428">
      <c r="A428" s="16">
        <f>IF($B428="","",COUNTA($B$4:$B428))</f>
        <v/>
      </c>
      <c r="B428" s="71" t="n"/>
      <c r="C428" s="38" t="n"/>
      <c r="D428" s="45" t="n"/>
      <c r="E428" s="45" t="n"/>
      <c r="F428" s="45" t="n"/>
    </row>
    <row r="429">
      <c r="A429" s="16">
        <f>IF($B429="","",COUNTA($B$4:$B429))</f>
        <v/>
      </c>
      <c r="B429" s="72" t="n"/>
      <c r="C429" s="40" t="n"/>
      <c r="D429" s="47" t="n"/>
      <c r="E429" s="47" t="n"/>
      <c r="F429" s="47" t="n"/>
    </row>
    <row r="430">
      <c r="A430" s="16">
        <f>IF($B430="","",COUNTA($B$4:$B430))</f>
        <v/>
      </c>
      <c r="B430" s="71" t="n"/>
      <c r="C430" s="38" t="n"/>
      <c r="D430" s="45" t="n"/>
      <c r="E430" s="45" t="n"/>
      <c r="F430" s="45" t="n"/>
    </row>
    <row r="431">
      <c r="A431" s="16">
        <f>IF($B431="","",COUNTA($B$4:$B431))</f>
        <v/>
      </c>
      <c r="B431" s="72" t="n"/>
      <c r="C431" s="40" t="n"/>
      <c r="D431" s="47" t="n"/>
      <c r="E431" s="47" t="n"/>
      <c r="F431" s="47" t="n"/>
    </row>
    <row r="432">
      <c r="A432" s="16">
        <f>IF($B432="","",COUNTA($B$4:$B432))</f>
        <v/>
      </c>
      <c r="B432" s="71" t="n"/>
      <c r="C432" s="38" t="n"/>
      <c r="D432" s="45" t="n"/>
      <c r="E432" s="45" t="n"/>
      <c r="F432" s="45" t="n"/>
    </row>
    <row r="433">
      <c r="A433" s="16">
        <f>IF($B433="","",COUNTA($B$4:$B433))</f>
        <v/>
      </c>
      <c r="B433" s="72" t="n"/>
      <c r="C433" s="40" t="n"/>
      <c r="D433" s="47" t="n"/>
      <c r="E433" s="47" t="n"/>
      <c r="F433" s="47" t="n"/>
    </row>
    <row r="434">
      <c r="A434" s="16">
        <f>IF($B434="","",COUNTA($B$4:$B434))</f>
        <v/>
      </c>
      <c r="B434" s="71" t="n"/>
      <c r="C434" s="38" t="n"/>
      <c r="D434" s="45" t="n"/>
      <c r="E434" s="45" t="n"/>
      <c r="F434" s="45" t="n"/>
    </row>
    <row r="435">
      <c r="A435" s="16">
        <f>IF($B435="","",COUNTA($B$4:$B435))</f>
        <v/>
      </c>
      <c r="B435" s="72" t="n"/>
      <c r="C435" s="40" t="n"/>
      <c r="D435" s="47" t="n"/>
      <c r="E435" s="47" t="n"/>
      <c r="F435" s="47" t="n"/>
    </row>
    <row r="436">
      <c r="A436" s="16">
        <f>IF($B436="","",COUNTA($B$4:$B436))</f>
        <v/>
      </c>
      <c r="B436" s="71" t="n"/>
      <c r="C436" s="38" t="n"/>
      <c r="D436" s="45" t="n"/>
      <c r="E436" s="45" t="n"/>
      <c r="F436" s="45" t="n"/>
    </row>
    <row r="437">
      <c r="A437" s="16">
        <f>IF($B437="","",COUNTA($B$4:$B437))</f>
        <v/>
      </c>
      <c r="B437" s="72" t="n"/>
      <c r="C437" s="40" t="n"/>
      <c r="D437" s="47" t="n"/>
      <c r="E437" s="47" t="n"/>
      <c r="F437" s="47" t="n"/>
    </row>
    <row r="438">
      <c r="A438" s="16">
        <f>IF($B438="","",COUNTA($B$4:$B438))</f>
        <v/>
      </c>
      <c r="B438" s="71" t="n"/>
      <c r="C438" s="38" t="n"/>
      <c r="D438" s="45" t="n"/>
      <c r="E438" s="45" t="n"/>
      <c r="F438" s="45" t="n"/>
    </row>
    <row r="439">
      <c r="A439" s="16">
        <f>IF($B439="","",COUNTA($B$4:$B439))</f>
        <v/>
      </c>
      <c r="B439" s="72" t="n"/>
      <c r="C439" s="40" t="n"/>
      <c r="D439" s="47" t="n"/>
      <c r="E439" s="47" t="n"/>
      <c r="F439" s="47" t="n"/>
    </row>
    <row r="440">
      <c r="A440" s="16">
        <f>IF($B440="","",COUNTA($B$4:$B440))</f>
        <v/>
      </c>
      <c r="B440" s="71" t="n"/>
      <c r="C440" s="38" t="n"/>
      <c r="D440" s="45" t="n"/>
      <c r="E440" s="45" t="n"/>
      <c r="F440" s="45" t="n"/>
    </row>
    <row r="441">
      <c r="A441" s="16">
        <f>IF($B441="","",COUNTA($B$4:$B441))</f>
        <v/>
      </c>
      <c r="B441" s="72" t="n"/>
      <c r="C441" s="40" t="n"/>
      <c r="D441" s="47" t="n"/>
      <c r="E441" s="47" t="n"/>
      <c r="F441" s="47" t="n"/>
    </row>
    <row r="442">
      <c r="A442" s="16">
        <f>IF($B442="","",COUNTA($B$4:$B442))</f>
        <v/>
      </c>
      <c r="B442" s="71" t="n"/>
      <c r="C442" s="38" t="n"/>
      <c r="D442" s="45" t="n"/>
      <c r="E442" s="45" t="n"/>
      <c r="F442" s="45" t="n"/>
    </row>
    <row r="443">
      <c r="A443" s="16">
        <f>IF($B443="","",COUNTA($B$4:$B443))</f>
        <v/>
      </c>
      <c r="B443" s="72" t="n"/>
      <c r="C443" s="40" t="n"/>
      <c r="D443" s="47" t="n"/>
      <c r="E443" s="47" t="n"/>
      <c r="F443" s="47" t="n"/>
    </row>
    <row r="444">
      <c r="A444" s="16">
        <f>IF($B444="","",COUNTA($B$4:$B444))</f>
        <v/>
      </c>
      <c r="B444" s="71" t="n"/>
      <c r="C444" s="38" t="n"/>
      <c r="D444" s="45" t="n"/>
      <c r="E444" s="45" t="n"/>
      <c r="F444" s="45" t="n"/>
    </row>
    <row r="445">
      <c r="A445" s="16">
        <f>IF($B445="","",COUNTA($B$4:$B445))</f>
        <v/>
      </c>
      <c r="B445" s="72" t="n"/>
      <c r="C445" s="40" t="n"/>
      <c r="D445" s="47" t="n"/>
      <c r="E445" s="47" t="n"/>
      <c r="F445" s="47" t="n"/>
    </row>
    <row r="446">
      <c r="A446" s="16">
        <f>IF($B446="","",COUNTA($B$4:$B446))</f>
        <v/>
      </c>
      <c r="B446" s="71" t="n"/>
      <c r="C446" s="38" t="n"/>
      <c r="D446" s="45" t="n"/>
      <c r="E446" s="45" t="n"/>
      <c r="F446" s="45" t="n"/>
    </row>
    <row r="447">
      <c r="A447" s="16">
        <f>IF($B447="","",COUNTA($B$4:$B447))</f>
        <v/>
      </c>
      <c r="B447" s="72" t="n"/>
      <c r="C447" s="40" t="n"/>
      <c r="D447" s="47" t="n"/>
      <c r="E447" s="47" t="n"/>
      <c r="F447" s="47" t="n"/>
    </row>
    <row r="448">
      <c r="A448" s="16">
        <f>IF($B448="","",COUNTA($B$4:$B448))</f>
        <v/>
      </c>
      <c r="B448" s="71" t="n"/>
      <c r="C448" s="38" t="n"/>
      <c r="D448" s="45" t="n"/>
      <c r="E448" s="45" t="n"/>
      <c r="F448" s="45" t="n"/>
    </row>
    <row r="449">
      <c r="A449" s="16">
        <f>IF($B449="","",COUNTA($B$4:$B449))</f>
        <v/>
      </c>
      <c r="B449" s="72" t="n"/>
      <c r="C449" s="40" t="n"/>
      <c r="D449" s="47" t="n"/>
      <c r="E449" s="47" t="n"/>
      <c r="F449" s="47" t="n"/>
    </row>
    <row r="450">
      <c r="A450" s="16">
        <f>IF($B450="","",COUNTA($B$4:$B450))</f>
        <v/>
      </c>
      <c r="B450" s="71" t="n"/>
      <c r="C450" s="38" t="n"/>
      <c r="D450" s="45" t="n"/>
      <c r="E450" s="45" t="n"/>
      <c r="F450" s="45" t="n"/>
    </row>
    <row r="451">
      <c r="A451" s="16">
        <f>IF($B451="","",COUNTA($B$4:$B451))</f>
        <v/>
      </c>
      <c r="B451" s="72" t="n"/>
      <c r="C451" s="40" t="n"/>
      <c r="D451" s="47" t="n"/>
      <c r="E451" s="47" t="n"/>
      <c r="F451" s="47" t="n"/>
    </row>
    <row r="452">
      <c r="A452" s="16">
        <f>IF($B452="","",COUNTA($B$4:$B452))</f>
        <v/>
      </c>
      <c r="B452" s="71" t="n"/>
      <c r="C452" s="38" t="n"/>
      <c r="D452" s="45" t="n"/>
      <c r="E452" s="45" t="n"/>
      <c r="F452" s="45" t="n"/>
    </row>
    <row r="453">
      <c r="A453" s="16">
        <f>IF($B453="","",COUNTA($B$4:$B453))</f>
        <v/>
      </c>
      <c r="B453" s="72" t="n"/>
      <c r="C453" s="40" t="n"/>
      <c r="D453" s="47" t="n"/>
      <c r="E453" s="47" t="n"/>
      <c r="F453" s="47" t="n"/>
    </row>
    <row r="454">
      <c r="A454" s="16">
        <f>IF($B454="","",COUNTA($B$4:$B454))</f>
        <v/>
      </c>
      <c r="B454" s="71" t="n"/>
      <c r="C454" s="38" t="n"/>
      <c r="D454" s="45" t="n"/>
      <c r="E454" s="45" t="n"/>
      <c r="F454" s="45" t="n"/>
    </row>
    <row r="455">
      <c r="A455" s="16">
        <f>IF($B455="","",COUNTA($B$4:$B455))</f>
        <v/>
      </c>
      <c r="B455" s="72" t="n"/>
      <c r="C455" s="40" t="n"/>
      <c r="D455" s="47" t="n"/>
      <c r="E455" s="47" t="n"/>
      <c r="F455" s="47" t="n"/>
    </row>
    <row r="456">
      <c r="A456" s="16">
        <f>IF($B456="","",COUNTA($B$4:$B456))</f>
        <v/>
      </c>
      <c r="B456" s="71" t="n"/>
      <c r="C456" s="38" t="n"/>
      <c r="D456" s="45" t="n"/>
      <c r="E456" s="45" t="n"/>
      <c r="F456" s="45" t="n"/>
    </row>
    <row r="457">
      <c r="A457" s="16">
        <f>IF($B457="","",COUNTA($B$4:$B457))</f>
        <v/>
      </c>
      <c r="B457" s="72" t="n"/>
      <c r="C457" s="40" t="n"/>
      <c r="D457" s="47" t="n"/>
      <c r="E457" s="47" t="n"/>
      <c r="F457" s="47" t="n"/>
    </row>
    <row r="458">
      <c r="A458" s="16">
        <f>IF($B458="","",COUNTA($B$4:$B458))</f>
        <v/>
      </c>
      <c r="B458" s="71" t="n"/>
      <c r="C458" s="38" t="n"/>
      <c r="D458" s="45" t="n"/>
      <c r="E458" s="45" t="n"/>
      <c r="F458" s="45" t="n"/>
    </row>
    <row r="459">
      <c r="A459" s="16">
        <f>IF($B459="","",COUNTA($B$4:$B459))</f>
        <v/>
      </c>
      <c r="B459" s="72" t="n"/>
      <c r="C459" s="40" t="n"/>
      <c r="D459" s="47" t="n"/>
      <c r="E459" s="47" t="n"/>
      <c r="F459" s="47" t="n"/>
    </row>
    <row r="460">
      <c r="A460" s="16">
        <f>IF($B460="","",COUNTA($B$4:$B460))</f>
        <v/>
      </c>
      <c r="B460" s="71" t="n"/>
      <c r="C460" s="38" t="n"/>
      <c r="D460" s="45" t="n"/>
      <c r="E460" s="45" t="n"/>
      <c r="F460" s="45" t="n"/>
    </row>
    <row r="461">
      <c r="A461" s="16">
        <f>IF($B461="","",COUNTA($B$4:$B461))</f>
        <v/>
      </c>
      <c r="B461" s="72" t="n"/>
      <c r="C461" s="40" t="n"/>
      <c r="D461" s="47" t="n"/>
      <c r="E461" s="47" t="n"/>
      <c r="F461" s="47" t="n"/>
    </row>
    <row r="462">
      <c r="A462" s="16">
        <f>IF($B462="","",COUNTA($B$4:$B462))</f>
        <v/>
      </c>
      <c r="B462" s="71" t="n"/>
      <c r="C462" s="38" t="n"/>
      <c r="D462" s="45" t="n"/>
      <c r="E462" s="45" t="n"/>
      <c r="F462" s="45" t="n"/>
    </row>
    <row r="463">
      <c r="A463" s="16">
        <f>IF($B463="","",COUNTA($B$4:$B463))</f>
        <v/>
      </c>
      <c r="B463" s="72" t="n"/>
      <c r="C463" s="40" t="n"/>
      <c r="D463" s="47" t="n"/>
      <c r="E463" s="47" t="n"/>
      <c r="F463" s="47" t="n"/>
    </row>
    <row r="464">
      <c r="A464" s="16">
        <f>IF($B464="","",COUNTA($B$4:$B464))</f>
        <v/>
      </c>
      <c r="B464" s="71" t="n"/>
      <c r="C464" s="38" t="n"/>
      <c r="D464" s="45" t="n"/>
      <c r="E464" s="45" t="n"/>
      <c r="F464" s="45" t="n"/>
    </row>
    <row r="465">
      <c r="A465" s="16">
        <f>IF($B465="","",COUNTA($B$4:$B465))</f>
        <v/>
      </c>
      <c r="B465" s="72" t="n"/>
      <c r="C465" s="40" t="n"/>
      <c r="D465" s="47" t="n"/>
      <c r="E465" s="47" t="n"/>
      <c r="F465" s="47" t="n"/>
    </row>
    <row r="466">
      <c r="A466" s="16">
        <f>IF($B466="","",COUNTA($B$4:$B466))</f>
        <v/>
      </c>
      <c r="B466" s="71" t="n"/>
      <c r="C466" s="38" t="n"/>
      <c r="D466" s="45" t="n"/>
      <c r="E466" s="45" t="n"/>
      <c r="F466" s="45" t="n"/>
    </row>
    <row r="467">
      <c r="A467" s="16">
        <f>IF($B467="","",COUNTA($B$4:$B467))</f>
        <v/>
      </c>
      <c r="B467" s="72" t="n"/>
      <c r="C467" s="40" t="n"/>
      <c r="D467" s="47" t="n"/>
      <c r="E467" s="47" t="n"/>
      <c r="F467" s="47" t="n"/>
    </row>
    <row r="468">
      <c r="A468" s="16">
        <f>IF($B468="","",COUNTA($B$4:$B468))</f>
        <v/>
      </c>
      <c r="B468" s="71" t="n"/>
      <c r="C468" s="38" t="n"/>
      <c r="D468" s="45" t="n"/>
      <c r="E468" s="45" t="n"/>
      <c r="F468" s="45" t="n"/>
    </row>
    <row r="469">
      <c r="A469" s="16">
        <f>IF($B469="","",COUNTA($B$4:$B469))</f>
        <v/>
      </c>
      <c r="B469" s="72" t="n"/>
      <c r="C469" s="40" t="n"/>
      <c r="D469" s="47" t="n"/>
      <c r="E469" s="47" t="n"/>
      <c r="F469" s="47" t="n"/>
    </row>
    <row r="470">
      <c r="A470" s="16">
        <f>IF($B470="","",COUNTA($B$4:$B470))</f>
        <v/>
      </c>
      <c r="B470" s="71" t="n"/>
      <c r="C470" s="38" t="n"/>
      <c r="D470" s="45" t="n"/>
      <c r="E470" s="45" t="n"/>
      <c r="F470" s="45" t="n"/>
    </row>
    <row r="471">
      <c r="A471" s="16">
        <f>IF($B471="","",COUNTA($B$4:$B471))</f>
        <v/>
      </c>
      <c r="B471" s="72" t="n"/>
      <c r="C471" s="40" t="n"/>
      <c r="D471" s="47" t="n"/>
      <c r="E471" s="47" t="n"/>
      <c r="F471" s="47" t="n"/>
    </row>
    <row r="472">
      <c r="A472" s="16">
        <f>IF($B472="","",COUNTA($B$4:$B472))</f>
        <v/>
      </c>
      <c r="B472" s="71" t="n"/>
      <c r="C472" s="38" t="n"/>
      <c r="D472" s="45" t="n"/>
      <c r="E472" s="45" t="n"/>
      <c r="F472" s="45" t="n"/>
    </row>
    <row r="473">
      <c r="A473" s="16">
        <f>IF($B473="","",COUNTA($B$4:$B473))</f>
        <v/>
      </c>
      <c r="B473" s="72" t="n"/>
      <c r="C473" s="40" t="n"/>
      <c r="D473" s="47" t="n"/>
      <c r="E473" s="47" t="n"/>
      <c r="F473" s="47" t="n"/>
    </row>
    <row r="474">
      <c r="A474" s="16">
        <f>IF($B474="","",COUNTA($B$4:$B474))</f>
        <v/>
      </c>
      <c r="B474" s="71" t="n"/>
      <c r="C474" s="38" t="n"/>
      <c r="D474" s="45" t="n"/>
      <c r="E474" s="45" t="n"/>
      <c r="F474" s="45" t="n"/>
    </row>
    <row r="475">
      <c r="A475" s="16">
        <f>IF($B475="","",COUNTA($B$4:$B475))</f>
        <v/>
      </c>
      <c r="B475" s="72" t="n"/>
      <c r="C475" s="40" t="n"/>
      <c r="D475" s="47" t="n"/>
      <c r="E475" s="47" t="n"/>
      <c r="F475" s="47" t="n"/>
    </row>
    <row r="476">
      <c r="A476" s="16">
        <f>IF($B476="","",COUNTA($B$4:$B476))</f>
        <v/>
      </c>
      <c r="B476" s="71" t="n"/>
      <c r="C476" s="38" t="n"/>
      <c r="D476" s="45" t="n"/>
      <c r="E476" s="45" t="n"/>
      <c r="F476" s="45" t="n"/>
    </row>
    <row r="477">
      <c r="A477" s="16">
        <f>IF($B477="","",COUNTA($B$4:$B477))</f>
        <v/>
      </c>
      <c r="B477" s="72" t="n"/>
      <c r="C477" s="40" t="n"/>
      <c r="D477" s="47" t="n"/>
      <c r="E477" s="47" t="n"/>
      <c r="F477" s="47" t="n"/>
    </row>
    <row r="478">
      <c r="A478" s="16">
        <f>IF($B478="","",COUNTA($B$4:$B478))</f>
        <v/>
      </c>
      <c r="B478" s="71" t="n"/>
      <c r="C478" s="38" t="n"/>
      <c r="D478" s="45" t="n"/>
      <c r="E478" s="45" t="n"/>
      <c r="F478" s="45" t="n"/>
    </row>
    <row r="479">
      <c r="A479" s="16">
        <f>IF($B479="","",COUNTA($B$4:$B479))</f>
        <v/>
      </c>
      <c r="B479" s="72" t="n"/>
      <c r="C479" s="40" t="n"/>
      <c r="D479" s="47" t="n"/>
      <c r="E479" s="47" t="n"/>
      <c r="F479" s="47" t="n"/>
    </row>
    <row r="480">
      <c r="A480" s="16">
        <f>IF($B480="","",COUNTA($B$4:$B480))</f>
        <v/>
      </c>
      <c r="B480" s="71" t="n"/>
      <c r="C480" s="38" t="n"/>
      <c r="D480" s="45" t="n"/>
      <c r="E480" s="45" t="n"/>
      <c r="F480" s="45" t="n"/>
    </row>
    <row r="481">
      <c r="A481" s="16">
        <f>IF($B481="","",COUNTA($B$4:$B481))</f>
        <v/>
      </c>
      <c r="B481" s="72" t="n"/>
      <c r="C481" s="40" t="n"/>
      <c r="D481" s="47" t="n"/>
      <c r="E481" s="47" t="n"/>
      <c r="F481" s="47" t="n"/>
    </row>
    <row r="482">
      <c r="A482" s="16">
        <f>IF($B482="","",COUNTA($B$4:$B482))</f>
        <v/>
      </c>
      <c r="B482" s="71" t="n"/>
      <c r="C482" s="38" t="n"/>
      <c r="D482" s="45" t="n"/>
      <c r="E482" s="45" t="n"/>
      <c r="F482" s="45" t="n"/>
    </row>
    <row r="483">
      <c r="A483" s="16">
        <f>IF($B483="","",COUNTA($B$4:$B483))</f>
        <v/>
      </c>
      <c r="B483" s="72" t="n"/>
      <c r="C483" s="40" t="n"/>
      <c r="D483" s="47" t="n"/>
      <c r="E483" s="47" t="n"/>
      <c r="F483" s="47" t="n"/>
    </row>
    <row r="484">
      <c r="A484" s="16">
        <f>IF($B484="","",COUNTA($B$4:$B484))</f>
        <v/>
      </c>
      <c r="B484" s="71" t="n"/>
      <c r="C484" s="38" t="n"/>
      <c r="D484" s="45" t="n"/>
      <c r="E484" s="45" t="n"/>
      <c r="F484" s="45" t="n"/>
    </row>
    <row r="485">
      <c r="A485" s="16">
        <f>IF($B485="","",COUNTA($B$4:$B485))</f>
        <v/>
      </c>
      <c r="B485" s="72" t="n"/>
      <c r="C485" s="40" t="n"/>
      <c r="D485" s="47" t="n"/>
      <c r="E485" s="47" t="n"/>
      <c r="F485" s="47" t="n"/>
    </row>
    <row r="486">
      <c r="A486" s="16">
        <f>IF($B486="","",COUNTA($B$4:$B486))</f>
        <v/>
      </c>
      <c r="B486" s="71" t="n"/>
      <c r="C486" s="38" t="n"/>
      <c r="D486" s="45" t="n"/>
      <c r="E486" s="45" t="n"/>
      <c r="F486" s="45" t="n"/>
    </row>
    <row r="487">
      <c r="A487" s="16">
        <f>IF($B487="","",COUNTA($B$4:$B487))</f>
        <v/>
      </c>
      <c r="B487" s="72" t="n"/>
      <c r="C487" s="40" t="n"/>
      <c r="D487" s="47" t="n"/>
      <c r="E487" s="47" t="n"/>
      <c r="F487" s="47" t="n"/>
    </row>
    <row r="488">
      <c r="A488" s="16">
        <f>IF($B488="","",COUNTA($B$4:$B488))</f>
        <v/>
      </c>
      <c r="B488" s="71" t="n"/>
      <c r="C488" s="38" t="n"/>
      <c r="D488" s="45" t="n"/>
      <c r="E488" s="45" t="n"/>
      <c r="F488" s="45" t="n"/>
    </row>
    <row r="489">
      <c r="A489" s="16">
        <f>IF($B489="","",COUNTA($B$4:$B489))</f>
        <v/>
      </c>
      <c r="B489" s="72" t="n"/>
      <c r="C489" s="40" t="n"/>
      <c r="D489" s="47" t="n"/>
      <c r="E489" s="47" t="n"/>
      <c r="F489" s="47" t="n"/>
    </row>
    <row r="490">
      <c r="A490" s="16">
        <f>IF($B490="","",COUNTA($B$4:$B490))</f>
        <v/>
      </c>
      <c r="B490" s="71" t="n"/>
      <c r="C490" s="38" t="n"/>
      <c r="D490" s="45" t="n"/>
      <c r="E490" s="45" t="n"/>
      <c r="F490" s="45" t="n"/>
    </row>
    <row r="491">
      <c r="A491" s="16">
        <f>IF($B491="","",COUNTA($B$4:$B491))</f>
        <v/>
      </c>
      <c r="B491" s="72" t="n"/>
      <c r="C491" s="40" t="n"/>
      <c r="D491" s="47" t="n"/>
      <c r="E491" s="47" t="n"/>
      <c r="F491" s="47" t="n"/>
    </row>
    <row r="492">
      <c r="A492" s="16">
        <f>IF($B492="","",COUNTA($B$4:$B492))</f>
        <v/>
      </c>
      <c r="B492" s="71" t="n"/>
      <c r="C492" s="38" t="n"/>
      <c r="D492" s="45" t="n"/>
      <c r="E492" s="45" t="n"/>
      <c r="F492" s="45" t="n"/>
    </row>
    <row r="493">
      <c r="A493" s="16">
        <f>IF($B493="","",COUNTA($B$4:$B493))</f>
        <v/>
      </c>
      <c r="B493" s="72" t="n"/>
      <c r="C493" s="40" t="n"/>
      <c r="D493" s="47" t="n"/>
      <c r="E493" s="47" t="n"/>
      <c r="F493" s="47" t="n"/>
    </row>
    <row r="494">
      <c r="A494" s="16">
        <f>IF($B494="","",COUNTA($B$4:$B494))</f>
        <v/>
      </c>
      <c r="B494" s="71" t="n"/>
      <c r="C494" s="38" t="n"/>
      <c r="D494" s="45" t="n"/>
      <c r="E494" s="45" t="n"/>
      <c r="F494" s="45" t="n"/>
    </row>
    <row r="495">
      <c r="A495" s="16">
        <f>IF($B495="","",COUNTA($B$4:$B495))</f>
        <v/>
      </c>
      <c r="B495" s="72" t="n"/>
      <c r="C495" s="40" t="n"/>
      <c r="D495" s="47" t="n"/>
      <c r="E495" s="47" t="n"/>
      <c r="F495" s="47" t="n"/>
    </row>
    <row r="496">
      <c r="A496" s="16">
        <f>IF($B496="","",COUNTA($B$4:$B496))</f>
        <v/>
      </c>
      <c r="B496" s="71" t="n"/>
      <c r="C496" s="38" t="n"/>
      <c r="D496" s="45" t="n"/>
      <c r="E496" s="45" t="n"/>
      <c r="F496" s="45" t="n"/>
    </row>
    <row r="497">
      <c r="A497" s="16">
        <f>IF($B497="","",COUNTA($B$4:$B497))</f>
        <v/>
      </c>
      <c r="B497" s="72" t="n"/>
      <c r="C497" s="40" t="n"/>
      <c r="D497" s="47" t="n"/>
      <c r="E497" s="47" t="n"/>
      <c r="F497" s="47" t="n"/>
    </row>
    <row r="498">
      <c r="A498" s="16">
        <f>IF($B498="","",COUNTA($B$4:$B498))</f>
        <v/>
      </c>
      <c r="B498" s="71" t="n"/>
      <c r="C498" s="38" t="n"/>
      <c r="D498" s="45" t="n"/>
      <c r="E498" s="45" t="n"/>
      <c r="F498" s="45" t="n"/>
    </row>
    <row r="499">
      <c r="A499" s="16">
        <f>IF($B499="","",COUNTA($B$4:$B499))</f>
        <v/>
      </c>
      <c r="B499" s="72" t="n"/>
      <c r="C499" s="40" t="n"/>
      <c r="D499" s="47" t="n"/>
      <c r="E499" s="47" t="n"/>
      <c r="F499" s="47" t="n"/>
    </row>
    <row r="500">
      <c r="A500" s="16">
        <f>IF($B500="","",COUNTA($B$4:$B500))</f>
        <v/>
      </c>
      <c r="B500" s="71" t="n"/>
      <c r="C500" s="38" t="n"/>
      <c r="D500" s="45" t="n"/>
      <c r="E500" s="45" t="n"/>
      <c r="F500" s="45" t="n"/>
    </row>
    <row r="501">
      <c r="A501" s="16">
        <f>IF($B501="","",COUNTA($B$4:$B501))</f>
        <v/>
      </c>
      <c r="B501" s="72" t="n"/>
      <c r="C501" s="40" t="n"/>
      <c r="D501" s="47" t="n"/>
      <c r="E501" s="47" t="n"/>
      <c r="F501" s="47" t="n"/>
    </row>
    <row r="502">
      <c r="A502" s="16">
        <f>IF($B502="","",COUNTA($B$4:$B502))</f>
        <v/>
      </c>
      <c r="B502" s="71" t="n"/>
      <c r="C502" s="38" t="n"/>
      <c r="D502" s="45" t="n"/>
      <c r="E502" s="45" t="n"/>
      <c r="F502" s="45" t="n"/>
    </row>
    <row r="503">
      <c r="A503" s="16">
        <f>IF($B503="","",COUNTA($B$4:$B503))</f>
        <v/>
      </c>
      <c r="B503" s="72" t="n"/>
      <c r="C503" s="40" t="n"/>
      <c r="D503" s="47" t="n"/>
      <c r="E503" s="47" t="n"/>
      <c r="F503" s="47" t="n"/>
    </row>
    <row r="504">
      <c r="A504" s="16">
        <f>IF($B504="","",COUNTA($B$4:$B504))</f>
        <v/>
      </c>
      <c r="B504" s="71" t="n"/>
      <c r="C504" s="38" t="n"/>
      <c r="D504" s="45" t="n"/>
      <c r="E504" s="45" t="n"/>
      <c r="F504" s="45" t="n"/>
    </row>
    <row r="505">
      <c r="A505" s="16">
        <f>IF($B505="","",COUNTA($B$4:$B505))</f>
        <v/>
      </c>
      <c r="B505" s="72" t="n"/>
      <c r="C505" s="40" t="n"/>
      <c r="D505" s="47" t="n"/>
      <c r="E505" s="47" t="n"/>
      <c r="F505" s="47" t="n"/>
    </row>
    <row r="506">
      <c r="A506" s="16">
        <f>IF($B506="","",COUNTA($B$4:$B506))</f>
        <v/>
      </c>
      <c r="B506" s="71" t="n"/>
      <c r="C506" s="38" t="n"/>
      <c r="D506" s="45" t="n"/>
      <c r="E506" s="45" t="n"/>
      <c r="F506" s="45" t="n"/>
    </row>
    <row r="507">
      <c r="A507" s="16">
        <f>IF($B507="","",COUNTA($B$4:$B507))</f>
        <v/>
      </c>
      <c r="B507" s="72" t="n"/>
      <c r="C507" s="40" t="n"/>
      <c r="D507" s="47" t="n"/>
      <c r="E507" s="47" t="n"/>
      <c r="F507" s="47" t="n"/>
    </row>
    <row r="508">
      <c r="A508" s="16">
        <f>IF($B508="","",COUNTA($B$4:$B508))</f>
        <v/>
      </c>
      <c r="B508" s="71" t="n"/>
      <c r="C508" s="38" t="n"/>
      <c r="D508" s="45" t="n"/>
      <c r="E508" s="45" t="n"/>
      <c r="F508" s="45" t="n"/>
    </row>
    <row r="509">
      <c r="A509" s="16">
        <f>IF($B509="","",COUNTA($B$4:$B509))</f>
        <v/>
      </c>
      <c r="B509" s="72" t="n"/>
      <c r="C509" s="40" t="n"/>
      <c r="D509" s="47" t="n"/>
      <c r="E509" s="47" t="n"/>
      <c r="F509" s="47" t="n"/>
    </row>
    <row r="510">
      <c r="A510" s="16">
        <f>IF($B510="","",COUNTA($B$4:$B510))</f>
        <v/>
      </c>
      <c r="B510" s="71" t="n"/>
      <c r="C510" s="38" t="n"/>
      <c r="D510" s="45" t="n"/>
      <c r="E510" s="45" t="n"/>
      <c r="F510" s="45" t="n"/>
    </row>
    <row r="511">
      <c r="A511" s="16">
        <f>IF($B511="","",COUNTA($B$4:$B511))</f>
        <v/>
      </c>
      <c r="B511" s="72" t="n"/>
      <c r="C511" s="40" t="n"/>
      <c r="D511" s="47" t="n"/>
      <c r="E511" s="47" t="n"/>
      <c r="F511" s="47" t="n"/>
    </row>
    <row r="512">
      <c r="A512" s="16">
        <f>IF($B512="","",COUNTA($B$4:$B512))</f>
        <v/>
      </c>
      <c r="B512" s="71" t="n"/>
      <c r="C512" s="38" t="n"/>
      <c r="D512" s="45" t="n"/>
      <c r="E512" s="45" t="n"/>
      <c r="F512" s="45" t="n"/>
    </row>
    <row r="513">
      <c r="A513" s="16">
        <f>IF($B513="","",COUNTA($B$4:$B513))</f>
        <v/>
      </c>
      <c r="B513" s="72" t="n"/>
      <c r="C513" s="40" t="n"/>
      <c r="D513" s="47" t="n"/>
      <c r="E513" s="47" t="n"/>
      <c r="F513" s="47" t="n"/>
    </row>
    <row r="514">
      <c r="A514" s="16">
        <f>IF($B514="","",COUNTA($B$4:$B514))</f>
        <v/>
      </c>
      <c r="B514" s="71" t="n"/>
      <c r="C514" s="38" t="n"/>
      <c r="D514" s="45" t="n"/>
      <c r="E514" s="45" t="n"/>
      <c r="F514" s="45" t="n"/>
    </row>
    <row r="515">
      <c r="A515" s="16">
        <f>IF($B515="","",COUNTA($B$4:$B515))</f>
        <v/>
      </c>
      <c r="B515" s="72" t="n"/>
      <c r="C515" s="40" t="n"/>
      <c r="D515" s="47" t="n"/>
      <c r="E515" s="47" t="n"/>
      <c r="F515" s="47" t="n"/>
    </row>
    <row r="516">
      <c r="A516" s="16">
        <f>IF($B516="","",COUNTA($B$4:$B516))</f>
        <v/>
      </c>
      <c r="B516" s="71" t="n"/>
      <c r="C516" s="38" t="n"/>
      <c r="D516" s="45" t="n"/>
      <c r="E516" s="45" t="n"/>
      <c r="F516" s="45" t="n"/>
    </row>
    <row r="517">
      <c r="A517" s="16">
        <f>IF($B517="","",COUNTA($B$4:$B517))</f>
        <v/>
      </c>
      <c r="B517" s="72" t="n"/>
      <c r="C517" s="40" t="n"/>
      <c r="D517" s="47" t="n"/>
      <c r="E517" s="47" t="n"/>
      <c r="F517" s="47" t="n"/>
    </row>
    <row r="518">
      <c r="A518" s="16">
        <f>IF($B518="","",COUNTA($B$4:$B518))</f>
        <v/>
      </c>
      <c r="B518" s="71" t="n"/>
      <c r="C518" s="38" t="n"/>
      <c r="D518" s="45" t="n"/>
      <c r="E518" s="45" t="n"/>
      <c r="F518" s="45" t="n"/>
    </row>
    <row r="519">
      <c r="A519" s="16">
        <f>IF($B519="","",COUNTA($B$4:$B519))</f>
        <v/>
      </c>
      <c r="B519" s="72" t="n"/>
      <c r="C519" s="40" t="n"/>
      <c r="D519" s="47" t="n"/>
      <c r="E519" s="47" t="n"/>
      <c r="F519" s="47" t="n"/>
    </row>
    <row r="520">
      <c r="A520" s="16">
        <f>IF($B520="","",COUNTA($B$4:$B520))</f>
        <v/>
      </c>
      <c r="B520" s="71" t="n"/>
      <c r="C520" s="38" t="n"/>
      <c r="D520" s="45" t="n"/>
      <c r="E520" s="45" t="n"/>
      <c r="F520" s="45" t="n"/>
    </row>
    <row r="521">
      <c r="A521" s="16">
        <f>IF($B521="","",COUNTA($B$4:$B521))</f>
        <v/>
      </c>
      <c r="B521" s="72" t="n"/>
      <c r="C521" s="40" t="n"/>
      <c r="D521" s="47" t="n"/>
      <c r="E521" s="47" t="n"/>
      <c r="F521" s="47" t="n"/>
    </row>
    <row r="522">
      <c r="A522" s="16">
        <f>IF($B522="","",COUNTA($B$4:$B522))</f>
        <v/>
      </c>
      <c r="B522" s="71" t="n"/>
      <c r="C522" s="38" t="n"/>
      <c r="D522" s="45" t="n"/>
      <c r="E522" s="45" t="n"/>
      <c r="F522" s="45" t="n"/>
    </row>
    <row r="523">
      <c r="A523" s="16">
        <f>IF($B523="","",COUNTA($B$4:$B523))</f>
        <v/>
      </c>
      <c r="B523" s="72" t="n"/>
      <c r="C523" s="40" t="n"/>
      <c r="D523" s="47" t="n"/>
      <c r="E523" s="47" t="n"/>
      <c r="F523" s="47" t="n"/>
    </row>
    <row r="524">
      <c r="A524" s="16">
        <f>IF($B524="","",COUNTA($B$4:$B524))</f>
        <v/>
      </c>
      <c r="B524" s="71" t="n"/>
      <c r="C524" s="38" t="n"/>
      <c r="D524" s="45" t="n"/>
      <c r="E524" s="45" t="n"/>
      <c r="F524" s="45" t="n"/>
    </row>
    <row r="525">
      <c r="A525" s="16">
        <f>IF($B525="","",COUNTA($B$4:$B525))</f>
        <v/>
      </c>
      <c r="B525" s="72" t="n"/>
      <c r="C525" s="40" t="n"/>
      <c r="D525" s="47" t="n"/>
      <c r="E525" s="47" t="n"/>
      <c r="F525" s="47" t="n"/>
    </row>
    <row r="526">
      <c r="A526" s="16">
        <f>IF($B526="","",COUNTA($B$4:$B526))</f>
        <v/>
      </c>
      <c r="B526" s="71" t="n"/>
      <c r="C526" s="38" t="n"/>
      <c r="D526" s="45" t="n"/>
      <c r="E526" s="45" t="n"/>
      <c r="F526" s="45" t="n"/>
    </row>
    <row r="527">
      <c r="A527" s="16">
        <f>IF($B527="","",COUNTA($B$4:$B527))</f>
        <v/>
      </c>
      <c r="B527" s="72" t="n"/>
      <c r="C527" s="40" t="n"/>
      <c r="D527" s="47" t="n"/>
      <c r="E527" s="47" t="n"/>
      <c r="F527" s="47" t="n"/>
    </row>
    <row r="528">
      <c r="A528" s="16">
        <f>IF($B528="","",COUNTA($B$4:$B528))</f>
        <v/>
      </c>
      <c r="B528" s="71" t="n"/>
      <c r="C528" s="38" t="n"/>
      <c r="D528" s="45" t="n"/>
      <c r="E528" s="45" t="n"/>
      <c r="F528" s="45" t="n"/>
    </row>
    <row r="529">
      <c r="A529" s="16">
        <f>IF($B529="","",COUNTA($B$4:$B529))</f>
        <v/>
      </c>
      <c r="B529" s="72" t="n"/>
      <c r="C529" s="40" t="n"/>
      <c r="D529" s="47" t="n"/>
      <c r="E529" s="47" t="n"/>
      <c r="F529" s="47" t="n"/>
    </row>
    <row r="530">
      <c r="A530" s="16">
        <f>IF($B530="","",COUNTA($B$4:$B530))</f>
        <v/>
      </c>
      <c r="B530" s="71" t="n"/>
      <c r="C530" s="38" t="n"/>
      <c r="D530" s="45" t="n"/>
      <c r="E530" s="45" t="n"/>
      <c r="F530" s="45" t="n"/>
    </row>
    <row r="531">
      <c r="A531" s="16">
        <f>IF($B531="","",COUNTA($B$4:$B531))</f>
        <v/>
      </c>
      <c r="B531" s="72" t="n"/>
      <c r="C531" s="40" t="n"/>
      <c r="D531" s="47" t="n"/>
      <c r="E531" s="47" t="n"/>
      <c r="F531" s="47" t="n"/>
    </row>
    <row r="532">
      <c r="A532" s="16">
        <f>IF($B532="","",COUNTA($B$4:$B532))</f>
        <v/>
      </c>
      <c r="B532" s="71" t="n"/>
      <c r="C532" s="38" t="n"/>
      <c r="D532" s="45" t="n"/>
      <c r="E532" s="45" t="n"/>
      <c r="F532" s="45" t="n"/>
    </row>
    <row r="533">
      <c r="A533" s="16">
        <f>IF($B533="","",COUNTA($B$4:$B533))</f>
        <v/>
      </c>
      <c r="B533" s="72" t="n"/>
      <c r="C533" s="40" t="n"/>
      <c r="D533" s="47" t="n"/>
      <c r="E533" s="47" t="n"/>
      <c r="F533" s="47" t="n"/>
    </row>
    <row r="534">
      <c r="A534" s="16">
        <f>IF($B534="","",COUNTA($B$4:$B534))</f>
        <v/>
      </c>
      <c r="B534" s="71" t="n"/>
      <c r="C534" s="38" t="n"/>
      <c r="D534" s="45" t="n"/>
      <c r="E534" s="45" t="n"/>
      <c r="F534" s="45" t="n"/>
    </row>
    <row r="535">
      <c r="A535" s="16">
        <f>IF($B535="","",COUNTA($B$4:$B535))</f>
        <v/>
      </c>
      <c r="B535" s="72" t="n"/>
      <c r="C535" s="40" t="n"/>
      <c r="D535" s="47" t="n"/>
      <c r="E535" s="47" t="n"/>
      <c r="F535" s="47" t="n"/>
    </row>
    <row r="536">
      <c r="A536" s="16">
        <f>IF($B536="","",COUNTA($B$4:$B536))</f>
        <v/>
      </c>
      <c r="B536" s="71" t="n"/>
      <c r="C536" s="38" t="n"/>
      <c r="D536" s="45" t="n"/>
      <c r="E536" s="45" t="n"/>
      <c r="F536" s="45" t="n"/>
    </row>
    <row r="537">
      <c r="A537" s="16">
        <f>IF($B537="","",COUNTA($B$4:$B537))</f>
        <v/>
      </c>
      <c r="B537" s="72" t="n"/>
      <c r="C537" s="40" t="n"/>
      <c r="D537" s="47" t="n"/>
      <c r="E537" s="47" t="n"/>
      <c r="F537" s="47" t="n"/>
    </row>
    <row r="538">
      <c r="A538" s="16">
        <f>IF($B538="","",COUNTA($B$4:$B538))</f>
        <v/>
      </c>
      <c r="B538" s="71" t="n"/>
      <c r="C538" s="38" t="n"/>
      <c r="D538" s="45" t="n"/>
      <c r="E538" s="45" t="n"/>
      <c r="F538" s="45" t="n"/>
    </row>
    <row r="539">
      <c r="A539" s="16">
        <f>IF($B539="","",COUNTA($B$4:$B539))</f>
        <v/>
      </c>
      <c r="B539" s="72" t="n"/>
      <c r="C539" s="40" t="n"/>
      <c r="D539" s="47" t="n"/>
      <c r="E539" s="47" t="n"/>
      <c r="F539" s="47" t="n"/>
    </row>
    <row r="540">
      <c r="A540" s="16">
        <f>IF($B540="","",COUNTA($B$4:$B540))</f>
        <v/>
      </c>
      <c r="B540" s="71" t="n"/>
      <c r="C540" s="38" t="n"/>
      <c r="D540" s="45" t="n"/>
      <c r="E540" s="45" t="n"/>
      <c r="F540" s="45" t="n"/>
    </row>
    <row r="541">
      <c r="A541" s="16">
        <f>IF($B541="","",COUNTA($B$4:$B541))</f>
        <v/>
      </c>
      <c r="B541" s="72" t="n"/>
      <c r="C541" s="40" t="n"/>
      <c r="D541" s="47" t="n"/>
      <c r="E541" s="47" t="n"/>
      <c r="F541" s="47" t="n"/>
    </row>
    <row r="542">
      <c r="A542" s="16">
        <f>IF($B542="","",COUNTA($B$4:$B542))</f>
        <v/>
      </c>
      <c r="B542" s="71" t="n"/>
      <c r="C542" s="38" t="n"/>
      <c r="D542" s="45" t="n"/>
      <c r="E542" s="45" t="n"/>
      <c r="F542" s="45" t="n"/>
    </row>
    <row r="543">
      <c r="A543" s="16">
        <f>IF($B543="","",COUNTA($B$4:$B543))</f>
        <v/>
      </c>
      <c r="B543" s="72" t="n"/>
      <c r="C543" s="40" t="n"/>
      <c r="D543" s="47" t="n"/>
      <c r="E543" s="47" t="n"/>
      <c r="F543" s="47" t="n"/>
    </row>
    <row r="544">
      <c r="A544" s="16">
        <f>IF($B544="","",COUNTA($B$4:$B544))</f>
        <v/>
      </c>
      <c r="B544" s="71" t="n"/>
      <c r="C544" s="38" t="n"/>
      <c r="D544" s="45" t="n"/>
      <c r="E544" s="45" t="n"/>
      <c r="F544" s="45" t="n"/>
    </row>
    <row r="545">
      <c r="A545" s="16">
        <f>IF($B545="","",COUNTA($B$4:$B545))</f>
        <v/>
      </c>
      <c r="B545" s="72" t="n"/>
      <c r="C545" s="40" t="n"/>
      <c r="D545" s="47" t="n"/>
      <c r="E545" s="47" t="n"/>
      <c r="F545" s="47" t="n"/>
    </row>
    <row r="546">
      <c r="A546" s="16">
        <f>IF($B546="","",COUNTA($B$4:$B546))</f>
        <v/>
      </c>
      <c r="B546" s="71" t="n"/>
      <c r="C546" s="38" t="n"/>
      <c r="D546" s="45" t="n"/>
      <c r="E546" s="45" t="n"/>
      <c r="F546" s="45" t="n"/>
    </row>
    <row r="547">
      <c r="A547" s="16">
        <f>IF($B547="","",COUNTA($B$4:$B547))</f>
        <v/>
      </c>
      <c r="B547" s="72" t="n"/>
      <c r="C547" s="40" t="n"/>
      <c r="D547" s="47" t="n"/>
      <c r="E547" s="47" t="n"/>
      <c r="F547" s="47" t="n"/>
    </row>
    <row r="548">
      <c r="A548" s="16">
        <f>IF($B548="","",COUNTA($B$4:$B548))</f>
        <v/>
      </c>
      <c r="B548" s="71" t="n"/>
      <c r="C548" s="38" t="n"/>
      <c r="D548" s="45" t="n"/>
      <c r="E548" s="45" t="n"/>
      <c r="F548" s="45" t="n"/>
    </row>
    <row r="549">
      <c r="A549" s="16">
        <f>IF($B549="","",COUNTA($B$4:$B549))</f>
        <v/>
      </c>
      <c r="B549" s="72" t="n"/>
      <c r="C549" s="40" t="n"/>
      <c r="D549" s="47" t="n"/>
      <c r="E549" s="47" t="n"/>
      <c r="F549" s="47" t="n"/>
    </row>
    <row r="550">
      <c r="A550" s="16">
        <f>IF($B550="","",COUNTA($B$4:$B550))</f>
        <v/>
      </c>
      <c r="B550" s="71" t="n"/>
      <c r="C550" s="38" t="n"/>
      <c r="D550" s="45" t="n"/>
      <c r="E550" s="45" t="n"/>
      <c r="F550" s="45" t="n"/>
    </row>
    <row r="551">
      <c r="A551" s="16">
        <f>IF($B551="","",COUNTA($B$4:$B551))</f>
        <v/>
      </c>
      <c r="B551" s="72" t="n"/>
      <c r="C551" s="40" t="n"/>
      <c r="D551" s="47" t="n"/>
      <c r="E551" s="47" t="n"/>
      <c r="F551" s="47" t="n"/>
    </row>
    <row r="552">
      <c r="A552" s="16">
        <f>IF($B552="","",COUNTA($B$4:$B552))</f>
        <v/>
      </c>
      <c r="B552" s="71" t="n"/>
      <c r="C552" s="38" t="n"/>
      <c r="D552" s="45" t="n"/>
      <c r="E552" s="45" t="n"/>
      <c r="F552" s="45" t="n"/>
    </row>
    <row r="553">
      <c r="A553" s="16">
        <f>IF($B553="","",COUNTA($B$4:$B553))</f>
        <v/>
      </c>
      <c r="B553" s="72" t="n"/>
      <c r="C553" s="40" t="n"/>
      <c r="D553" s="47" t="n"/>
      <c r="E553" s="47" t="n"/>
      <c r="F553" s="47" t="n"/>
    </row>
    <row r="554">
      <c r="A554" s="16">
        <f>IF($B554="","",COUNTA($B$4:$B554))</f>
        <v/>
      </c>
      <c r="B554" s="71" t="n"/>
      <c r="C554" s="38" t="n"/>
      <c r="D554" s="45" t="n"/>
      <c r="E554" s="45" t="n"/>
      <c r="F554" s="45" t="n"/>
    </row>
    <row r="555">
      <c r="A555" s="16">
        <f>IF($B555="","",COUNTA($B$4:$B555))</f>
        <v/>
      </c>
      <c r="B555" s="72" t="n"/>
      <c r="C555" s="40" t="n"/>
      <c r="D555" s="47" t="n"/>
      <c r="E555" s="47" t="n"/>
      <c r="F555" s="47" t="n"/>
    </row>
    <row r="556">
      <c r="A556" s="16">
        <f>IF($B556="","",COUNTA($B$4:$B556))</f>
        <v/>
      </c>
      <c r="B556" s="71" t="n"/>
      <c r="C556" s="38" t="n"/>
      <c r="D556" s="45" t="n"/>
      <c r="E556" s="45" t="n"/>
      <c r="F556" s="45" t="n"/>
    </row>
    <row r="557">
      <c r="A557" s="16">
        <f>IF($B557="","",COUNTA($B$4:$B557))</f>
        <v/>
      </c>
      <c r="B557" s="72" t="n"/>
      <c r="C557" s="40" t="n"/>
      <c r="D557" s="47" t="n"/>
      <c r="E557" s="47" t="n"/>
      <c r="F557" s="47" t="n"/>
    </row>
    <row r="558">
      <c r="A558" s="16">
        <f>IF($B558="","",COUNTA($B$4:$B558))</f>
        <v/>
      </c>
      <c r="B558" s="71" t="n"/>
      <c r="C558" s="38" t="n"/>
      <c r="D558" s="45" t="n"/>
      <c r="E558" s="45" t="n"/>
      <c r="F558" s="45" t="n"/>
    </row>
    <row r="559">
      <c r="A559" s="16">
        <f>IF($B559="","",COUNTA($B$4:$B559))</f>
        <v/>
      </c>
      <c r="B559" s="72" t="n"/>
      <c r="C559" s="40" t="n"/>
      <c r="D559" s="47" t="n"/>
      <c r="E559" s="47" t="n"/>
      <c r="F559" s="47" t="n"/>
    </row>
    <row r="560">
      <c r="A560" s="16">
        <f>IF($B560="","",COUNTA($B$4:$B560))</f>
        <v/>
      </c>
      <c r="B560" s="71" t="n"/>
      <c r="C560" s="38" t="n"/>
      <c r="D560" s="45" t="n"/>
      <c r="E560" s="45" t="n"/>
      <c r="F560" s="45" t="n"/>
    </row>
    <row r="561">
      <c r="A561" s="16">
        <f>IF($B561="","",COUNTA($B$4:$B561))</f>
        <v/>
      </c>
      <c r="B561" s="72" t="n"/>
      <c r="C561" s="40" t="n"/>
      <c r="D561" s="47" t="n"/>
      <c r="E561" s="47" t="n"/>
      <c r="F561" s="47" t="n"/>
    </row>
    <row r="562">
      <c r="A562" s="16">
        <f>IF($B562="","",COUNTA($B$4:$B562))</f>
        <v/>
      </c>
      <c r="B562" s="71" t="n"/>
      <c r="C562" s="38" t="n"/>
      <c r="D562" s="45" t="n"/>
      <c r="E562" s="45" t="n"/>
      <c r="F562" s="45" t="n"/>
    </row>
    <row r="563">
      <c r="A563" s="16">
        <f>IF($B563="","",COUNTA($B$4:$B563))</f>
        <v/>
      </c>
      <c r="B563" s="72" t="n"/>
      <c r="C563" s="40" t="n"/>
      <c r="D563" s="47" t="n"/>
      <c r="E563" s="47" t="n"/>
      <c r="F563" s="47" t="n"/>
    </row>
    <row r="564">
      <c r="A564" s="16">
        <f>IF($B564="","",COUNTA($B$4:$B564))</f>
        <v/>
      </c>
      <c r="B564" s="71" t="n"/>
      <c r="C564" s="38" t="n"/>
      <c r="D564" s="45" t="n"/>
      <c r="E564" s="45" t="n"/>
      <c r="F564" s="45" t="n"/>
    </row>
    <row r="565">
      <c r="A565" s="16">
        <f>IF($B565="","",COUNTA($B$4:$B565))</f>
        <v/>
      </c>
      <c r="B565" s="72" t="n"/>
      <c r="C565" s="40" t="n"/>
      <c r="D565" s="47" t="n"/>
      <c r="E565" s="47" t="n"/>
      <c r="F565" s="47" t="n"/>
    </row>
    <row r="566">
      <c r="A566" s="16">
        <f>IF($B566="","",COUNTA($B$4:$B566))</f>
        <v/>
      </c>
      <c r="B566" s="71" t="n"/>
      <c r="C566" s="38" t="n"/>
      <c r="D566" s="45" t="n"/>
      <c r="E566" s="45" t="n"/>
      <c r="F566" s="45" t="n"/>
    </row>
    <row r="567">
      <c r="A567" s="16">
        <f>IF($B567="","",COUNTA($B$4:$B567))</f>
        <v/>
      </c>
      <c r="B567" s="72" t="n"/>
      <c r="C567" s="40" t="n"/>
      <c r="D567" s="47" t="n"/>
      <c r="E567" s="47" t="n"/>
      <c r="F567" s="47" t="n"/>
    </row>
    <row r="568">
      <c r="A568" s="16">
        <f>IF($B568="","",COUNTA($B$4:$B568))</f>
        <v/>
      </c>
      <c r="B568" s="71" t="n"/>
      <c r="C568" s="38" t="n"/>
      <c r="D568" s="45" t="n"/>
      <c r="E568" s="45" t="n"/>
      <c r="F568" s="45" t="n"/>
    </row>
    <row r="569">
      <c r="A569" s="16">
        <f>IF($B569="","",COUNTA($B$4:$B569))</f>
        <v/>
      </c>
      <c r="B569" s="72" t="n"/>
      <c r="C569" s="40" t="n"/>
      <c r="D569" s="47" t="n"/>
      <c r="E569" s="47" t="n"/>
      <c r="F569" s="47" t="n"/>
    </row>
    <row r="570">
      <c r="A570" s="16">
        <f>IF($B570="","",COUNTA($B$4:$B570))</f>
        <v/>
      </c>
      <c r="B570" s="71" t="n"/>
      <c r="C570" s="38" t="n"/>
      <c r="D570" s="45" t="n"/>
      <c r="E570" s="45" t="n"/>
      <c r="F570" s="45" t="n"/>
    </row>
    <row r="571">
      <c r="A571" s="16">
        <f>IF($B571="","",COUNTA($B$4:$B571))</f>
        <v/>
      </c>
      <c r="B571" s="72" t="n"/>
      <c r="C571" s="40" t="n"/>
      <c r="D571" s="47" t="n"/>
      <c r="E571" s="47" t="n"/>
      <c r="F571" s="47" t="n"/>
    </row>
    <row r="572">
      <c r="A572" s="16">
        <f>IF($B572="","",COUNTA($B$4:$B572))</f>
        <v/>
      </c>
      <c r="B572" s="71" t="n"/>
      <c r="C572" s="38" t="n"/>
      <c r="D572" s="45" t="n"/>
      <c r="E572" s="45" t="n"/>
      <c r="F572" s="45" t="n"/>
    </row>
    <row r="573">
      <c r="A573" s="16">
        <f>IF($B573="","",COUNTA($B$4:$B573))</f>
        <v/>
      </c>
      <c r="B573" s="72" t="n"/>
      <c r="C573" s="40" t="n"/>
      <c r="D573" s="47" t="n"/>
      <c r="E573" s="47" t="n"/>
      <c r="F573" s="47" t="n"/>
    </row>
    <row r="574">
      <c r="A574" s="16">
        <f>IF($B574="","",COUNTA($B$4:$B574))</f>
        <v/>
      </c>
      <c r="B574" s="71" t="n"/>
      <c r="C574" s="38" t="n"/>
      <c r="D574" s="45" t="n"/>
      <c r="E574" s="45" t="n"/>
      <c r="F574" s="45" t="n"/>
    </row>
    <row r="575">
      <c r="A575" s="16">
        <f>IF($B575="","",COUNTA($B$4:$B575))</f>
        <v/>
      </c>
      <c r="B575" s="72" t="n"/>
      <c r="C575" s="40" t="n"/>
      <c r="D575" s="47" t="n"/>
      <c r="E575" s="47" t="n"/>
      <c r="F575" s="47" t="n"/>
    </row>
    <row r="576">
      <c r="A576" s="16">
        <f>IF($B576="","",COUNTA($B$4:$B576))</f>
        <v/>
      </c>
      <c r="B576" s="71" t="n"/>
      <c r="C576" s="38" t="n"/>
      <c r="D576" s="45" t="n"/>
      <c r="E576" s="45" t="n"/>
      <c r="F576" s="45" t="n"/>
    </row>
    <row r="577">
      <c r="A577" s="16">
        <f>IF($B577="","",COUNTA($B$4:$B577))</f>
        <v/>
      </c>
      <c r="B577" s="72" t="n"/>
      <c r="C577" s="40" t="n"/>
      <c r="D577" s="47" t="n"/>
      <c r="E577" s="47" t="n"/>
      <c r="F577" s="47" t="n"/>
    </row>
    <row r="578">
      <c r="A578" s="16">
        <f>IF($B578="","",COUNTA($B$4:$B578))</f>
        <v/>
      </c>
      <c r="B578" s="71" t="n"/>
      <c r="C578" s="38" t="n"/>
      <c r="D578" s="45" t="n"/>
      <c r="E578" s="45" t="n"/>
      <c r="F578" s="45" t="n"/>
    </row>
    <row r="579">
      <c r="A579" s="16">
        <f>IF($B579="","",COUNTA($B$4:$B579))</f>
        <v/>
      </c>
      <c r="B579" s="72" t="n"/>
      <c r="C579" s="40" t="n"/>
      <c r="D579" s="47" t="n"/>
      <c r="E579" s="47" t="n"/>
      <c r="F579" s="47" t="n"/>
    </row>
    <row r="580">
      <c r="A580" s="16">
        <f>IF($B580="","",COUNTA($B$4:$B580))</f>
        <v/>
      </c>
      <c r="B580" s="71" t="n"/>
      <c r="C580" s="38" t="n"/>
      <c r="D580" s="45" t="n"/>
      <c r="E580" s="45" t="n"/>
      <c r="F580" s="45" t="n"/>
    </row>
    <row r="581">
      <c r="A581" s="16">
        <f>IF($B581="","",COUNTA($B$4:$B581))</f>
        <v/>
      </c>
      <c r="B581" s="72" t="n"/>
      <c r="C581" s="40" t="n"/>
      <c r="D581" s="47" t="n"/>
      <c r="E581" s="47" t="n"/>
      <c r="F581" s="47" t="n"/>
    </row>
    <row r="582">
      <c r="A582" s="16">
        <f>IF($B582="","",COUNTA($B$4:$B582))</f>
        <v/>
      </c>
      <c r="B582" s="71" t="n"/>
      <c r="C582" s="38" t="n"/>
      <c r="D582" s="45" t="n"/>
      <c r="E582" s="45" t="n"/>
      <c r="F582" s="45" t="n"/>
    </row>
    <row r="583">
      <c r="A583" s="16">
        <f>IF($B583="","",COUNTA($B$4:$B583))</f>
        <v/>
      </c>
      <c r="B583" s="72" t="n"/>
      <c r="C583" s="40" t="n"/>
      <c r="D583" s="47" t="n"/>
      <c r="E583" s="47" t="n"/>
      <c r="F583" s="47" t="n"/>
    </row>
    <row r="584">
      <c r="A584" s="16">
        <f>IF($B584="","",COUNTA($B$4:$B584))</f>
        <v/>
      </c>
      <c r="B584" s="71" t="n"/>
      <c r="C584" s="38" t="n"/>
      <c r="D584" s="45" t="n"/>
      <c r="E584" s="45" t="n"/>
      <c r="F584" s="45" t="n"/>
    </row>
    <row r="585">
      <c r="A585" s="16">
        <f>IF($B585="","",COUNTA($B$4:$B585))</f>
        <v/>
      </c>
      <c r="B585" s="72" t="n"/>
      <c r="C585" s="40" t="n"/>
      <c r="D585" s="47" t="n"/>
      <c r="E585" s="47" t="n"/>
      <c r="F585" s="47" t="n"/>
    </row>
    <row r="586">
      <c r="A586" s="16">
        <f>IF($B586="","",COUNTA($B$4:$B586))</f>
        <v/>
      </c>
      <c r="B586" s="71" t="n"/>
      <c r="C586" s="38" t="n"/>
      <c r="D586" s="45" t="n"/>
      <c r="E586" s="45" t="n"/>
      <c r="F586" s="45" t="n"/>
    </row>
    <row r="587">
      <c r="A587" s="16">
        <f>IF($B587="","",COUNTA($B$4:$B587))</f>
        <v/>
      </c>
      <c r="B587" s="72" t="n"/>
      <c r="C587" s="40" t="n"/>
      <c r="D587" s="47" t="n"/>
      <c r="E587" s="47" t="n"/>
      <c r="F587" s="47" t="n"/>
    </row>
    <row r="588">
      <c r="A588" s="16">
        <f>IF($B588="","",COUNTA($B$4:$B588))</f>
        <v/>
      </c>
      <c r="B588" s="71" t="n"/>
      <c r="C588" s="38" t="n"/>
      <c r="D588" s="45" t="n"/>
      <c r="E588" s="45" t="n"/>
      <c r="F588" s="45" t="n"/>
    </row>
    <row r="589">
      <c r="A589" s="16">
        <f>IF($B589="","",COUNTA($B$4:$B589))</f>
        <v/>
      </c>
      <c r="B589" s="72" t="n"/>
      <c r="C589" s="40" t="n"/>
      <c r="D589" s="47" t="n"/>
      <c r="E589" s="47" t="n"/>
      <c r="F589" s="47" t="n"/>
    </row>
    <row r="590">
      <c r="A590" s="16">
        <f>IF($B590="","",COUNTA($B$4:$B590))</f>
        <v/>
      </c>
      <c r="B590" s="71" t="n"/>
      <c r="C590" s="38" t="n"/>
      <c r="D590" s="45" t="n"/>
      <c r="E590" s="45" t="n"/>
      <c r="F590" s="45" t="n"/>
    </row>
    <row r="591">
      <c r="A591" s="16">
        <f>IF($B591="","",COUNTA($B$4:$B591))</f>
        <v/>
      </c>
      <c r="B591" s="72" t="n"/>
      <c r="C591" s="40" t="n"/>
      <c r="D591" s="47" t="n"/>
      <c r="E591" s="47" t="n"/>
      <c r="F591" s="47" t="n"/>
    </row>
    <row r="592">
      <c r="A592" s="16">
        <f>IF($B592="","",COUNTA($B$4:$B592))</f>
        <v/>
      </c>
      <c r="B592" s="71" t="n"/>
      <c r="C592" s="38" t="n"/>
      <c r="D592" s="45" t="n"/>
      <c r="E592" s="45" t="n"/>
      <c r="F592" s="45" t="n"/>
    </row>
    <row r="593">
      <c r="A593" s="16">
        <f>IF($B593="","",COUNTA($B$4:$B593))</f>
        <v/>
      </c>
      <c r="B593" s="72" t="n"/>
      <c r="C593" s="40" t="n"/>
      <c r="D593" s="47" t="n"/>
      <c r="E593" s="47" t="n"/>
      <c r="F593" s="47" t="n"/>
    </row>
    <row r="594">
      <c r="A594" s="16">
        <f>IF($B594="","",COUNTA($B$4:$B594))</f>
        <v/>
      </c>
      <c r="B594" s="71" t="n"/>
      <c r="C594" s="38" t="n"/>
      <c r="D594" s="45" t="n"/>
      <c r="E594" s="45" t="n"/>
      <c r="F594" s="45" t="n"/>
    </row>
    <row r="595">
      <c r="A595" s="16">
        <f>IF($B595="","",COUNTA($B$4:$B595))</f>
        <v/>
      </c>
      <c r="B595" s="72" t="n"/>
      <c r="C595" s="40" t="n"/>
      <c r="D595" s="47" t="n"/>
      <c r="E595" s="47" t="n"/>
      <c r="F595" s="47" t="n"/>
    </row>
    <row r="596">
      <c r="A596" s="16">
        <f>IF($B596="","",COUNTA($B$4:$B596))</f>
        <v/>
      </c>
      <c r="B596" s="71" t="n"/>
      <c r="C596" s="38" t="n"/>
      <c r="D596" s="45" t="n"/>
      <c r="E596" s="45" t="n"/>
      <c r="F596" s="45" t="n"/>
    </row>
    <row r="597">
      <c r="A597" s="16">
        <f>IF($B597="","",COUNTA($B$4:$B597))</f>
        <v/>
      </c>
      <c r="B597" s="72" t="n"/>
      <c r="C597" s="40" t="n"/>
      <c r="D597" s="47" t="n"/>
      <c r="E597" s="47" t="n"/>
      <c r="F597" s="47" t="n"/>
    </row>
    <row r="598">
      <c r="A598" s="16">
        <f>IF($B598="","",COUNTA($B$4:$B598))</f>
        <v/>
      </c>
      <c r="B598" s="71" t="n"/>
      <c r="C598" s="38" t="n"/>
      <c r="D598" s="45" t="n"/>
      <c r="E598" s="45" t="n"/>
      <c r="F598" s="45" t="n"/>
    </row>
    <row r="599">
      <c r="A599" s="16">
        <f>IF($B599="","",COUNTA($B$4:$B599))</f>
        <v/>
      </c>
      <c r="B599" s="72" t="n"/>
      <c r="C599" s="40" t="n"/>
      <c r="D599" s="47" t="n"/>
      <c r="E599" s="47" t="n"/>
      <c r="F599" s="47" t="n"/>
    </row>
    <row r="600">
      <c r="A600" s="16">
        <f>IF($B600="","",COUNTA($B$4:$B600))</f>
        <v/>
      </c>
      <c r="B600" s="71" t="n"/>
      <c r="C600" s="38" t="n"/>
      <c r="D600" s="45" t="n"/>
      <c r="E600" s="45" t="n"/>
      <c r="F600" s="45" t="n"/>
    </row>
    <row r="601">
      <c r="A601" s="16">
        <f>IF($B601="","",COUNTA($B$4:$B601))</f>
        <v/>
      </c>
      <c r="B601" s="72" t="n"/>
      <c r="C601" s="40" t="n"/>
      <c r="D601" s="47" t="n"/>
      <c r="E601" s="47" t="n"/>
      <c r="F601" s="47" t="n"/>
    </row>
    <row r="602">
      <c r="A602" s="16">
        <f>IF($B602="","",COUNTA($B$4:$B602))</f>
        <v/>
      </c>
      <c r="B602" s="71" t="n"/>
      <c r="C602" s="38" t="n"/>
      <c r="D602" s="45" t="n"/>
      <c r="E602" s="45" t="n"/>
      <c r="F602" s="45" t="n"/>
    </row>
    <row r="603">
      <c r="A603" s="16">
        <f>IF($B603="","",COUNTA($B$4:$B603))</f>
        <v/>
      </c>
      <c r="B603" s="72" t="n"/>
      <c r="C603" s="40" t="n"/>
      <c r="D603" s="47" t="n"/>
      <c r="E603" s="47" t="n"/>
      <c r="F603" s="47" t="n"/>
    </row>
    <row r="604">
      <c r="A604" s="16">
        <f>IF($B604="","",COUNTA($B$4:$B604))</f>
        <v/>
      </c>
      <c r="B604" s="71" t="n"/>
      <c r="C604" s="38" t="n"/>
      <c r="D604" s="45" t="n"/>
      <c r="E604" s="45" t="n"/>
      <c r="F604" s="45" t="n"/>
    </row>
    <row r="605">
      <c r="A605" s="16">
        <f>IF($B605="","",COUNTA($B$4:$B605))</f>
        <v/>
      </c>
      <c r="B605" s="72" t="n"/>
      <c r="C605" s="40" t="n"/>
      <c r="D605" s="47" t="n"/>
      <c r="E605" s="47" t="n"/>
      <c r="F605" s="47" t="n"/>
    </row>
    <row r="606">
      <c r="A606" s="16">
        <f>IF($B606="","",COUNTA($B$4:$B606))</f>
        <v/>
      </c>
      <c r="B606" s="71" t="n"/>
      <c r="C606" s="38" t="n"/>
      <c r="D606" s="45" t="n"/>
      <c r="E606" s="45" t="n"/>
      <c r="F606" s="45" t="n"/>
    </row>
    <row r="607">
      <c r="A607" s="16">
        <f>IF($B607="","",COUNTA($B$4:$B607))</f>
        <v/>
      </c>
      <c r="B607" s="72" t="n"/>
      <c r="C607" s="40" t="n"/>
      <c r="D607" s="47" t="n"/>
      <c r="E607" s="47" t="n"/>
      <c r="F607" s="47" t="n"/>
    </row>
    <row r="608">
      <c r="A608" s="16">
        <f>IF($B608="","",COUNTA($B$4:$B608))</f>
        <v/>
      </c>
      <c r="B608" s="71" t="n"/>
      <c r="C608" s="38" t="n"/>
      <c r="D608" s="45" t="n"/>
      <c r="E608" s="45" t="n"/>
      <c r="F608" s="45" t="n"/>
    </row>
    <row r="609">
      <c r="A609" s="16">
        <f>IF($B609="","",COUNTA($B$4:$B609))</f>
        <v/>
      </c>
      <c r="B609" s="72" t="n"/>
      <c r="C609" s="40" t="n"/>
      <c r="D609" s="47" t="n"/>
      <c r="E609" s="47" t="n"/>
      <c r="F609" s="47" t="n"/>
    </row>
    <row r="610">
      <c r="A610" s="16">
        <f>IF($B610="","",COUNTA($B$4:$B610))</f>
        <v/>
      </c>
      <c r="B610" s="71" t="n"/>
      <c r="C610" s="38" t="n"/>
      <c r="D610" s="45" t="n"/>
      <c r="E610" s="45" t="n"/>
      <c r="F610" s="45" t="n"/>
    </row>
    <row r="611">
      <c r="A611" s="16">
        <f>IF($B611="","",COUNTA($B$4:$B611))</f>
        <v/>
      </c>
      <c r="B611" s="72" t="n"/>
      <c r="C611" s="40" t="n"/>
      <c r="D611" s="47" t="n"/>
      <c r="E611" s="47" t="n"/>
      <c r="F611" s="47" t="n"/>
    </row>
    <row r="612">
      <c r="A612" s="16">
        <f>IF($B612="","",COUNTA($B$4:$B612))</f>
        <v/>
      </c>
      <c r="B612" s="71" t="n"/>
      <c r="C612" s="38" t="n"/>
      <c r="D612" s="45" t="n"/>
      <c r="E612" s="45" t="n"/>
      <c r="F612" s="45" t="n"/>
    </row>
    <row r="613">
      <c r="A613" s="16">
        <f>IF($B613="","",COUNTA($B$4:$B613))</f>
        <v/>
      </c>
      <c r="B613" s="72" t="n"/>
      <c r="C613" s="40" t="n"/>
      <c r="D613" s="47" t="n"/>
      <c r="E613" s="47" t="n"/>
      <c r="F613" s="47" t="n"/>
    </row>
    <row r="614">
      <c r="A614" s="16">
        <f>IF($B614="","",COUNTA($B$4:$B614))</f>
        <v/>
      </c>
      <c r="B614" s="71" t="n"/>
      <c r="C614" s="38" t="n"/>
      <c r="D614" s="45" t="n"/>
      <c r="E614" s="45" t="n"/>
      <c r="F614" s="45" t="n"/>
    </row>
    <row r="615">
      <c r="A615" s="16">
        <f>IF($B615="","",COUNTA($B$4:$B615))</f>
        <v/>
      </c>
      <c r="B615" s="72" t="n"/>
      <c r="C615" s="40" t="n"/>
      <c r="D615" s="47" t="n"/>
      <c r="E615" s="47" t="n"/>
      <c r="F615" s="47" t="n"/>
    </row>
    <row r="616">
      <c r="A616" s="16">
        <f>IF($B616="","",COUNTA($B$4:$B616))</f>
        <v/>
      </c>
      <c r="B616" s="71" t="n"/>
      <c r="C616" s="38" t="n"/>
      <c r="D616" s="45" t="n"/>
      <c r="E616" s="45" t="n"/>
      <c r="F616" s="45" t="n"/>
    </row>
    <row r="617">
      <c r="A617" s="16">
        <f>IF($B617="","",COUNTA($B$4:$B617))</f>
        <v/>
      </c>
      <c r="B617" s="72" t="n"/>
      <c r="C617" s="40" t="n"/>
      <c r="D617" s="47" t="n"/>
      <c r="E617" s="47" t="n"/>
      <c r="F617" s="47" t="n"/>
    </row>
    <row r="618">
      <c r="A618" s="16">
        <f>IF($B618="","",COUNTA($B$4:$B618))</f>
        <v/>
      </c>
      <c r="B618" s="71" t="n"/>
      <c r="C618" s="38" t="n"/>
      <c r="D618" s="45" t="n"/>
      <c r="E618" s="45" t="n"/>
      <c r="F618" s="45" t="n"/>
    </row>
    <row r="619">
      <c r="A619" s="16">
        <f>IF($B619="","",COUNTA($B$4:$B619))</f>
        <v/>
      </c>
      <c r="B619" s="72" t="n"/>
      <c r="C619" s="40" t="n"/>
      <c r="D619" s="47" t="n"/>
      <c r="E619" s="47" t="n"/>
      <c r="F619" s="47" t="n"/>
    </row>
    <row r="620">
      <c r="A620" s="16">
        <f>IF($B620="","",COUNTA($B$4:$B620))</f>
        <v/>
      </c>
      <c r="B620" s="71" t="n"/>
      <c r="C620" s="38" t="n"/>
      <c r="D620" s="45" t="n"/>
      <c r="E620" s="45" t="n"/>
      <c r="F620" s="45" t="n"/>
    </row>
    <row r="621">
      <c r="A621" s="16">
        <f>IF($B621="","",COUNTA($B$4:$B621))</f>
        <v/>
      </c>
      <c r="B621" s="72" t="n"/>
      <c r="C621" s="40" t="n"/>
      <c r="D621" s="47" t="n"/>
      <c r="E621" s="47" t="n"/>
      <c r="F621" s="47" t="n"/>
    </row>
    <row r="622">
      <c r="A622" s="16">
        <f>IF($B622="","",COUNTA($B$4:$B622))</f>
        <v/>
      </c>
      <c r="B622" s="71" t="n"/>
      <c r="C622" s="38" t="n"/>
      <c r="D622" s="45" t="n"/>
      <c r="E622" s="45" t="n"/>
      <c r="F622" s="45" t="n"/>
    </row>
    <row r="623">
      <c r="A623" s="16">
        <f>IF($B623="","",COUNTA($B$4:$B623))</f>
        <v/>
      </c>
      <c r="B623" s="72" t="n"/>
      <c r="C623" s="40" t="n"/>
      <c r="D623" s="47" t="n"/>
      <c r="E623" s="47" t="n"/>
      <c r="F623" s="47" t="n"/>
    </row>
    <row r="624">
      <c r="A624" s="16">
        <f>IF($B624="","",COUNTA($B$4:$B624))</f>
        <v/>
      </c>
      <c r="B624" s="71" t="n"/>
      <c r="C624" s="38" t="n"/>
      <c r="D624" s="45" t="n"/>
      <c r="E624" s="45" t="n"/>
      <c r="F624" s="45" t="n"/>
    </row>
    <row r="625">
      <c r="A625" s="16">
        <f>IF($B625="","",COUNTA($B$4:$B625))</f>
        <v/>
      </c>
      <c r="B625" s="72" t="n"/>
      <c r="C625" s="40" t="n"/>
      <c r="D625" s="47" t="n"/>
      <c r="E625" s="47" t="n"/>
      <c r="F625" s="47" t="n"/>
    </row>
    <row r="626">
      <c r="A626" s="16">
        <f>IF($B626="","",COUNTA($B$4:$B626))</f>
        <v/>
      </c>
      <c r="B626" s="71" t="n"/>
      <c r="C626" s="38" t="n"/>
      <c r="D626" s="45" t="n"/>
      <c r="E626" s="45" t="n"/>
      <c r="F626" s="45" t="n"/>
    </row>
    <row r="627">
      <c r="A627" s="16">
        <f>IF($B627="","",COUNTA($B$4:$B627))</f>
        <v/>
      </c>
      <c r="B627" s="72" t="n"/>
      <c r="C627" s="40" t="n"/>
      <c r="D627" s="47" t="n"/>
      <c r="E627" s="47" t="n"/>
      <c r="F627" s="47" t="n"/>
    </row>
    <row r="628">
      <c r="A628" s="16">
        <f>IF($B628="","",COUNTA($B$4:$B628))</f>
        <v/>
      </c>
      <c r="B628" s="71" t="n"/>
      <c r="C628" s="38" t="n"/>
      <c r="D628" s="45" t="n"/>
      <c r="E628" s="45" t="n"/>
      <c r="F628" s="45" t="n"/>
    </row>
    <row r="629">
      <c r="A629" s="16">
        <f>IF($B629="","",COUNTA($B$4:$B629))</f>
        <v/>
      </c>
      <c r="B629" s="72" t="n"/>
      <c r="C629" s="40" t="n"/>
      <c r="D629" s="47" t="n"/>
      <c r="E629" s="47" t="n"/>
      <c r="F629" s="47" t="n"/>
    </row>
    <row r="630">
      <c r="A630" s="16">
        <f>IF($B630="","",COUNTA($B$4:$B630))</f>
        <v/>
      </c>
      <c r="B630" s="71" t="n"/>
      <c r="C630" s="38" t="n"/>
      <c r="D630" s="45" t="n"/>
      <c r="E630" s="45" t="n"/>
      <c r="F630" s="45" t="n"/>
    </row>
    <row r="631">
      <c r="A631" s="16">
        <f>IF($B631="","",COUNTA($B$4:$B631))</f>
        <v/>
      </c>
      <c r="B631" s="72" t="n"/>
      <c r="C631" s="40" t="n"/>
      <c r="D631" s="47" t="n"/>
      <c r="E631" s="47" t="n"/>
      <c r="F631" s="47" t="n"/>
    </row>
    <row r="632">
      <c r="A632" s="16">
        <f>IF($B632="","",COUNTA($B$4:$B632))</f>
        <v/>
      </c>
      <c r="B632" s="71" t="n"/>
      <c r="C632" s="38" t="n"/>
      <c r="D632" s="45" t="n"/>
      <c r="E632" s="45" t="n"/>
      <c r="F632" s="45" t="n"/>
    </row>
    <row r="633">
      <c r="A633" s="16">
        <f>IF($B633="","",COUNTA($B$4:$B633))</f>
        <v/>
      </c>
      <c r="B633" s="72" t="n"/>
      <c r="C633" s="40" t="n"/>
      <c r="D633" s="47" t="n"/>
      <c r="E633" s="47" t="n"/>
      <c r="F633" s="47" t="n"/>
    </row>
    <row r="634">
      <c r="A634" s="16">
        <f>IF($B634="","",COUNTA($B$4:$B634))</f>
        <v/>
      </c>
      <c r="B634" s="71" t="n"/>
      <c r="C634" s="38" t="n"/>
      <c r="D634" s="45" t="n"/>
      <c r="E634" s="45" t="n"/>
      <c r="F634" s="45" t="n"/>
    </row>
    <row r="635">
      <c r="A635" s="16">
        <f>IF($B635="","",COUNTA($B$4:$B635))</f>
        <v/>
      </c>
      <c r="B635" s="72" t="n"/>
      <c r="C635" s="40" t="n"/>
      <c r="D635" s="47" t="n"/>
      <c r="E635" s="47" t="n"/>
      <c r="F635" s="47" t="n"/>
    </row>
    <row r="636">
      <c r="A636" s="16">
        <f>IF($B636="","",COUNTA($B$4:$B636))</f>
        <v/>
      </c>
      <c r="B636" s="71" t="n"/>
      <c r="C636" s="38" t="n"/>
      <c r="D636" s="45" t="n"/>
      <c r="E636" s="45" t="n"/>
      <c r="F636" s="45" t="n"/>
    </row>
    <row r="637">
      <c r="A637" s="16">
        <f>IF($B637="","",COUNTA($B$4:$B637))</f>
        <v/>
      </c>
      <c r="B637" s="72" t="n"/>
      <c r="C637" s="40" t="n"/>
      <c r="D637" s="47" t="n"/>
      <c r="E637" s="47" t="n"/>
      <c r="F637" s="47" t="n"/>
    </row>
    <row r="638">
      <c r="A638" s="16">
        <f>IF($B638="","",COUNTA($B$4:$B638))</f>
        <v/>
      </c>
      <c r="B638" s="71" t="n"/>
      <c r="C638" s="38" t="n"/>
      <c r="D638" s="45" t="n"/>
      <c r="E638" s="45" t="n"/>
      <c r="F638" s="45" t="n"/>
    </row>
    <row r="639">
      <c r="A639" s="16">
        <f>IF($B639="","",COUNTA($B$4:$B639))</f>
        <v/>
      </c>
      <c r="B639" s="72" t="n"/>
      <c r="C639" s="40" t="n"/>
      <c r="D639" s="47" t="n"/>
      <c r="E639" s="47" t="n"/>
      <c r="F639" s="47" t="n"/>
    </row>
    <row r="640">
      <c r="A640" s="16">
        <f>IF($B640="","",COUNTA($B$4:$B640))</f>
        <v/>
      </c>
      <c r="B640" s="71" t="n"/>
      <c r="C640" s="38" t="n"/>
      <c r="D640" s="45" t="n"/>
      <c r="E640" s="45" t="n"/>
      <c r="F640" s="45" t="n"/>
    </row>
    <row r="641">
      <c r="A641" s="16">
        <f>IF($B641="","",COUNTA($B$4:$B641))</f>
        <v/>
      </c>
      <c r="B641" s="72" t="n"/>
      <c r="C641" s="40" t="n"/>
      <c r="D641" s="47" t="n"/>
      <c r="E641" s="47" t="n"/>
      <c r="F641" s="47" t="n"/>
    </row>
    <row r="642">
      <c r="A642" s="16">
        <f>IF($B642="","",COUNTA($B$4:$B642))</f>
        <v/>
      </c>
      <c r="B642" s="71" t="n"/>
      <c r="C642" s="38" t="n"/>
      <c r="D642" s="45" t="n"/>
      <c r="E642" s="45" t="n"/>
      <c r="F642" s="45" t="n"/>
    </row>
    <row r="643">
      <c r="A643" s="16">
        <f>IF($B643="","",COUNTA($B$4:$B643))</f>
        <v/>
      </c>
      <c r="B643" s="72" t="n"/>
      <c r="C643" s="40" t="n"/>
      <c r="D643" s="47" t="n"/>
      <c r="E643" s="47" t="n"/>
      <c r="F643" s="47" t="n"/>
    </row>
    <row r="644">
      <c r="A644" s="16">
        <f>IF($B644="","",COUNTA($B$4:$B644))</f>
        <v/>
      </c>
      <c r="B644" s="71" t="n"/>
      <c r="C644" s="38" t="n"/>
      <c r="D644" s="45" t="n"/>
      <c r="E644" s="45" t="n"/>
      <c r="F644" s="45" t="n"/>
    </row>
    <row r="645">
      <c r="A645" s="16">
        <f>IF($B645="","",COUNTA($B$4:$B645))</f>
        <v/>
      </c>
      <c r="B645" s="72" t="n"/>
      <c r="C645" s="40" t="n"/>
      <c r="D645" s="47" t="n"/>
      <c r="E645" s="47" t="n"/>
      <c r="F645" s="47" t="n"/>
    </row>
    <row r="646">
      <c r="A646" s="16">
        <f>IF($B646="","",COUNTA($B$4:$B646))</f>
        <v/>
      </c>
      <c r="B646" s="71" t="n"/>
      <c r="C646" s="38" t="n"/>
      <c r="D646" s="45" t="n"/>
      <c r="E646" s="45" t="n"/>
      <c r="F646" s="45" t="n"/>
    </row>
    <row r="647">
      <c r="A647" s="16">
        <f>IF($B647="","",COUNTA($B$4:$B647))</f>
        <v/>
      </c>
      <c r="B647" s="72" t="n"/>
      <c r="C647" s="40" t="n"/>
      <c r="D647" s="47" t="n"/>
      <c r="E647" s="47" t="n"/>
      <c r="F647" s="47" t="n"/>
    </row>
    <row r="648">
      <c r="A648" s="16">
        <f>IF($B648="","",COUNTA($B$4:$B648))</f>
        <v/>
      </c>
      <c r="B648" s="71" t="n"/>
      <c r="C648" s="38" t="n"/>
      <c r="D648" s="45" t="n"/>
      <c r="E648" s="45" t="n"/>
      <c r="F648" s="45" t="n"/>
    </row>
    <row r="649">
      <c r="A649" s="16">
        <f>IF($B649="","",COUNTA($B$4:$B649))</f>
        <v/>
      </c>
      <c r="B649" s="72" t="n"/>
      <c r="C649" s="40" t="n"/>
      <c r="D649" s="47" t="n"/>
      <c r="E649" s="47" t="n"/>
      <c r="F649" s="47" t="n"/>
    </row>
    <row r="650">
      <c r="A650" s="16">
        <f>IF($B650="","",COUNTA($B$4:$B650))</f>
        <v/>
      </c>
      <c r="B650" s="71" t="n"/>
      <c r="C650" s="38" t="n"/>
      <c r="D650" s="45" t="n"/>
      <c r="E650" s="45" t="n"/>
      <c r="F650" s="45" t="n"/>
    </row>
    <row r="651">
      <c r="A651" s="16">
        <f>IF($B651="","",COUNTA($B$4:$B651))</f>
        <v/>
      </c>
      <c r="B651" s="72" t="n"/>
      <c r="C651" s="40" t="n"/>
      <c r="D651" s="47" t="n"/>
      <c r="E651" s="47" t="n"/>
      <c r="F651" s="47" t="n"/>
    </row>
    <row r="652">
      <c r="A652" s="16">
        <f>IF($B652="","",COUNTA($B$4:$B652))</f>
        <v/>
      </c>
      <c r="B652" s="71" t="n"/>
      <c r="C652" s="38" t="n"/>
      <c r="D652" s="45" t="n"/>
      <c r="E652" s="45" t="n"/>
      <c r="F652" s="45" t="n"/>
    </row>
    <row r="653">
      <c r="A653" s="16">
        <f>IF($B653="","",COUNTA($B$4:$B653))</f>
        <v/>
      </c>
      <c r="B653" s="72" t="n"/>
      <c r="C653" s="40" t="n"/>
      <c r="D653" s="47" t="n"/>
      <c r="E653" s="47" t="n"/>
      <c r="F653" s="47" t="n"/>
    </row>
    <row r="654">
      <c r="A654" s="16">
        <f>IF($B654="","",COUNTA($B$4:$B654))</f>
        <v/>
      </c>
      <c r="B654" s="71" t="n"/>
      <c r="C654" s="38" t="n"/>
      <c r="D654" s="45" t="n"/>
      <c r="E654" s="45" t="n"/>
      <c r="F654" s="45" t="n"/>
    </row>
    <row r="655">
      <c r="A655" s="16">
        <f>IF($B655="","",COUNTA($B$4:$B655))</f>
        <v/>
      </c>
      <c r="B655" s="72" t="n"/>
      <c r="C655" s="40" t="n"/>
      <c r="D655" s="47" t="n"/>
      <c r="E655" s="47" t="n"/>
      <c r="F655" s="47" t="n"/>
    </row>
    <row r="656">
      <c r="A656" s="16">
        <f>IF($B656="","",COUNTA($B$4:$B656))</f>
        <v/>
      </c>
      <c r="B656" s="71" t="n"/>
      <c r="C656" s="38" t="n"/>
      <c r="D656" s="45" t="n"/>
      <c r="E656" s="45" t="n"/>
      <c r="F656" s="45" t="n"/>
    </row>
    <row r="657">
      <c r="A657" s="16">
        <f>IF($B657="","",COUNTA($B$4:$B657))</f>
        <v/>
      </c>
      <c r="B657" s="72" t="n"/>
      <c r="C657" s="40" t="n"/>
      <c r="D657" s="47" t="n"/>
      <c r="E657" s="47" t="n"/>
      <c r="F657" s="47" t="n"/>
    </row>
    <row r="658">
      <c r="A658" s="16">
        <f>IF($B658="","",COUNTA($B$4:$B658))</f>
        <v/>
      </c>
      <c r="B658" s="71" t="n"/>
      <c r="C658" s="38" t="n"/>
      <c r="D658" s="45" t="n"/>
      <c r="E658" s="45" t="n"/>
      <c r="F658" s="45" t="n"/>
    </row>
    <row r="659">
      <c r="A659" s="16">
        <f>IF($B659="","",COUNTA($B$4:$B659))</f>
        <v/>
      </c>
      <c r="B659" s="72" t="n"/>
      <c r="C659" s="40" t="n"/>
      <c r="D659" s="47" t="n"/>
      <c r="E659" s="47" t="n"/>
      <c r="F659" s="47" t="n"/>
    </row>
    <row r="660">
      <c r="A660" s="16">
        <f>IF($B660="","",COUNTA($B$4:$B660))</f>
        <v/>
      </c>
      <c r="B660" s="71" t="n"/>
      <c r="C660" s="38" t="n"/>
      <c r="D660" s="45" t="n"/>
      <c r="E660" s="45" t="n"/>
      <c r="F660" s="45" t="n"/>
    </row>
    <row r="661">
      <c r="A661" s="16">
        <f>IF($B661="","",COUNTA($B$4:$B661))</f>
        <v/>
      </c>
      <c r="B661" s="72" t="n"/>
      <c r="C661" s="40" t="n"/>
      <c r="D661" s="47" t="n"/>
      <c r="E661" s="47" t="n"/>
      <c r="F661" s="47" t="n"/>
    </row>
    <row r="662">
      <c r="A662" s="16">
        <f>IF($B662="","",COUNTA($B$4:$B662))</f>
        <v/>
      </c>
      <c r="B662" s="71" t="n"/>
      <c r="C662" s="38" t="n"/>
      <c r="D662" s="45" t="n"/>
      <c r="E662" s="45" t="n"/>
      <c r="F662" s="45" t="n"/>
    </row>
    <row r="663">
      <c r="A663" s="16">
        <f>IF($B663="","",COUNTA($B$4:$B663))</f>
        <v/>
      </c>
      <c r="B663" s="72" t="n"/>
      <c r="C663" s="40" t="n"/>
      <c r="D663" s="47" t="n"/>
      <c r="E663" s="47" t="n"/>
      <c r="F663" s="47" t="n"/>
    </row>
    <row r="664">
      <c r="A664" s="16">
        <f>IF($B664="","",COUNTA($B$4:$B664))</f>
        <v/>
      </c>
      <c r="B664" s="71" t="n"/>
      <c r="C664" s="38" t="n"/>
      <c r="D664" s="45" t="n"/>
      <c r="E664" s="45" t="n"/>
      <c r="F664" s="45" t="n"/>
    </row>
    <row r="665">
      <c r="A665" s="16">
        <f>IF($B665="","",COUNTA($B$4:$B665))</f>
        <v/>
      </c>
      <c r="B665" s="72" t="n"/>
      <c r="C665" s="40" t="n"/>
      <c r="D665" s="47" t="n"/>
      <c r="E665" s="47" t="n"/>
      <c r="F665" s="47" t="n"/>
    </row>
    <row r="666">
      <c r="A666" s="16">
        <f>IF($B666="","",COUNTA($B$4:$B666))</f>
        <v/>
      </c>
      <c r="B666" s="71" t="n"/>
      <c r="C666" s="38" t="n"/>
      <c r="D666" s="45" t="n"/>
      <c r="E666" s="45" t="n"/>
      <c r="F666" s="45" t="n"/>
    </row>
    <row r="667">
      <c r="A667" s="16">
        <f>IF($B667="","",COUNTA($B$4:$B667))</f>
        <v/>
      </c>
      <c r="B667" s="72" t="n"/>
      <c r="C667" s="40" t="n"/>
      <c r="D667" s="47" t="n"/>
      <c r="E667" s="47" t="n"/>
      <c r="F667" s="47" t="n"/>
    </row>
    <row r="668">
      <c r="A668" s="16">
        <f>IF($B668="","",COUNTA($B$4:$B668))</f>
        <v/>
      </c>
      <c r="B668" s="71" t="n"/>
      <c r="C668" s="38" t="n"/>
      <c r="D668" s="45" t="n"/>
      <c r="E668" s="45" t="n"/>
      <c r="F668" s="45" t="n"/>
    </row>
    <row r="669">
      <c r="A669" s="16">
        <f>IF($B669="","",COUNTA($B$4:$B669))</f>
        <v/>
      </c>
      <c r="B669" s="72" t="n"/>
      <c r="C669" s="40" t="n"/>
      <c r="D669" s="47" t="n"/>
      <c r="E669" s="47" t="n"/>
      <c r="F669" s="47" t="n"/>
    </row>
    <row r="670">
      <c r="A670" s="16">
        <f>IF($B670="","",COUNTA($B$4:$B670))</f>
        <v/>
      </c>
      <c r="B670" s="71" t="n"/>
      <c r="C670" s="38" t="n"/>
      <c r="D670" s="45" t="n"/>
      <c r="E670" s="45" t="n"/>
      <c r="F670" s="45" t="n"/>
    </row>
    <row r="671">
      <c r="A671" s="16">
        <f>IF($B671="","",COUNTA($B$4:$B671))</f>
        <v/>
      </c>
      <c r="B671" s="72" t="n"/>
      <c r="C671" s="40" t="n"/>
      <c r="D671" s="47" t="n"/>
      <c r="E671" s="47" t="n"/>
      <c r="F671" s="47" t="n"/>
    </row>
    <row r="672">
      <c r="A672" s="16">
        <f>IF($B672="","",COUNTA($B$4:$B672))</f>
        <v/>
      </c>
      <c r="B672" s="71" t="n"/>
      <c r="C672" s="38" t="n"/>
      <c r="D672" s="45" t="n"/>
      <c r="E672" s="45" t="n"/>
      <c r="F672" s="45" t="n"/>
    </row>
    <row r="673">
      <c r="A673" s="16">
        <f>IF($B673="","",COUNTA($B$4:$B673))</f>
        <v/>
      </c>
      <c r="B673" s="72" t="n"/>
      <c r="C673" s="40" t="n"/>
      <c r="D673" s="47" t="n"/>
      <c r="E673" s="47" t="n"/>
      <c r="F673" s="47" t="n"/>
    </row>
    <row r="674">
      <c r="A674" s="16">
        <f>IF($B674="","",COUNTA($B$4:$B674))</f>
        <v/>
      </c>
      <c r="B674" s="71" t="n"/>
      <c r="C674" s="38" t="n"/>
      <c r="D674" s="45" t="n"/>
      <c r="E674" s="45" t="n"/>
      <c r="F674" s="45" t="n"/>
    </row>
    <row r="675">
      <c r="A675" s="16">
        <f>IF($B675="","",COUNTA($B$4:$B675))</f>
        <v/>
      </c>
      <c r="B675" s="72" t="n"/>
      <c r="C675" s="40" t="n"/>
      <c r="D675" s="47" t="n"/>
      <c r="E675" s="47" t="n"/>
      <c r="F675" s="47" t="n"/>
    </row>
    <row r="676">
      <c r="A676" s="16">
        <f>IF($B676="","",COUNTA($B$4:$B676))</f>
        <v/>
      </c>
      <c r="B676" s="71" t="n"/>
      <c r="C676" s="38" t="n"/>
      <c r="D676" s="45" t="n"/>
      <c r="E676" s="45" t="n"/>
      <c r="F676" s="45" t="n"/>
    </row>
    <row r="677">
      <c r="A677" s="16">
        <f>IF($B677="","",COUNTA($B$4:$B677))</f>
        <v/>
      </c>
      <c r="B677" s="72" t="n"/>
      <c r="C677" s="40" t="n"/>
      <c r="D677" s="47" t="n"/>
      <c r="E677" s="47" t="n"/>
      <c r="F677" s="47" t="n"/>
    </row>
    <row r="678">
      <c r="A678" s="16">
        <f>IF($B678="","",COUNTA($B$4:$B678))</f>
        <v/>
      </c>
      <c r="B678" s="71" t="n"/>
      <c r="C678" s="38" t="n"/>
      <c r="D678" s="45" t="n"/>
      <c r="E678" s="45" t="n"/>
      <c r="F678" s="45" t="n"/>
    </row>
    <row r="679">
      <c r="A679" s="16">
        <f>IF($B679="","",COUNTA($B$4:$B679))</f>
        <v/>
      </c>
      <c r="B679" s="72" t="n"/>
      <c r="C679" s="40" t="n"/>
      <c r="D679" s="47" t="n"/>
      <c r="E679" s="47" t="n"/>
      <c r="F679" s="47" t="n"/>
    </row>
    <row r="680">
      <c r="A680" s="16">
        <f>IF($B680="","",COUNTA($B$4:$B680))</f>
        <v/>
      </c>
      <c r="B680" s="71" t="n"/>
      <c r="C680" s="38" t="n"/>
      <c r="D680" s="45" t="n"/>
      <c r="E680" s="45" t="n"/>
      <c r="F680" s="45" t="n"/>
    </row>
    <row r="681">
      <c r="A681" s="16">
        <f>IF($B681="","",COUNTA($B$4:$B681))</f>
        <v/>
      </c>
      <c r="B681" s="72" t="n"/>
      <c r="C681" s="40" t="n"/>
      <c r="D681" s="47" t="n"/>
      <c r="E681" s="47" t="n"/>
      <c r="F681" s="47" t="n"/>
    </row>
    <row r="682">
      <c r="A682" s="16">
        <f>IF($B682="","",COUNTA($B$4:$B682))</f>
        <v/>
      </c>
      <c r="B682" s="71" t="n"/>
      <c r="C682" s="38" t="n"/>
      <c r="D682" s="45" t="n"/>
      <c r="E682" s="45" t="n"/>
      <c r="F682" s="45" t="n"/>
    </row>
    <row r="683">
      <c r="A683" s="16">
        <f>IF($B683="","",COUNTA($B$4:$B683))</f>
        <v/>
      </c>
      <c r="B683" s="72" t="n"/>
      <c r="C683" s="40" t="n"/>
      <c r="D683" s="47" t="n"/>
      <c r="E683" s="47" t="n"/>
      <c r="F683" s="47" t="n"/>
    </row>
    <row r="684">
      <c r="A684" s="16">
        <f>IF($B684="","",COUNTA($B$4:$B684))</f>
        <v/>
      </c>
      <c r="B684" s="71" t="n"/>
      <c r="C684" s="38" t="n"/>
      <c r="D684" s="45" t="n"/>
      <c r="E684" s="45" t="n"/>
      <c r="F684" s="45" t="n"/>
    </row>
    <row r="685">
      <c r="A685" s="16">
        <f>IF($B685="","",COUNTA($B$4:$B685))</f>
        <v/>
      </c>
      <c r="B685" s="72" t="n"/>
      <c r="C685" s="40" t="n"/>
      <c r="D685" s="47" t="n"/>
      <c r="E685" s="47" t="n"/>
      <c r="F685" s="47" t="n"/>
    </row>
    <row r="686">
      <c r="A686" s="16">
        <f>IF($B686="","",COUNTA($B$4:$B686))</f>
        <v/>
      </c>
      <c r="B686" s="71" t="n"/>
      <c r="C686" s="38" t="n"/>
      <c r="D686" s="45" t="n"/>
      <c r="E686" s="45" t="n"/>
      <c r="F686" s="45" t="n"/>
    </row>
    <row r="687">
      <c r="A687" s="16">
        <f>IF($B687="","",COUNTA($B$4:$B687))</f>
        <v/>
      </c>
      <c r="B687" s="72" t="n"/>
      <c r="C687" s="40" t="n"/>
      <c r="D687" s="47" t="n"/>
      <c r="E687" s="47" t="n"/>
      <c r="F687" s="47" t="n"/>
    </row>
    <row r="688">
      <c r="A688" s="16">
        <f>IF($B688="","",COUNTA($B$4:$B688))</f>
        <v/>
      </c>
      <c r="B688" s="71" t="n"/>
      <c r="C688" s="38" t="n"/>
      <c r="D688" s="45" t="n"/>
      <c r="E688" s="45" t="n"/>
      <c r="F688" s="45" t="n"/>
    </row>
    <row r="689">
      <c r="A689" s="16">
        <f>IF($B689="","",COUNTA($B$4:$B689))</f>
        <v/>
      </c>
      <c r="B689" s="72" t="n"/>
      <c r="C689" s="40" t="n"/>
      <c r="D689" s="47" t="n"/>
      <c r="E689" s="47" t="n"/>
      <c r="F689" s="47" t="n"/>
    </row>
    <row r="690">
      <c r="A690" s="16">
        <f>IF($B690="","",COUNTA($B$4:$B690))</f>
        <v/>
      </c>
      <c r="B690" s="71" t="n"/>
      <c r="C690" s="38" t="n"/>
      <c r="D690" s="45" t="n"/>
      <c r="E690" s="45" t="n"/>
      <c r="F690" s="45" t="n"/>
    </row>
    <row r="691">
      <c r="A691" s="16">
        <f>IF($B691="","",COUNTA($B$4:$B691))</f>
        <v/>
      </c>
      <c r="B691" s="72" t="n"/>
      <c r="C691" s="40" t="n"/>
      <c r="D691" s="47" t="n"/>
      <c r="E691" s="47" t="n"/>
      <c r="F691" s="47" t="n"/>
    </row>
    <row r="692">
      <c r="A692" s="16">
        <f>IF($B692="","",COUNTA($B$4:$B692))</f>
        <v/>
      </c>
      <c r="B692" s="71" t="n"/>
      <c r="C692" s="38" t="n"/>
      <c r="D692" s="45" t="n"/>
      <c r="E692" s="45" t="n"/>
      <c r="F692" s="45" t="n"/>
    </row>
    <row r="693">
      <c r="A693" s="16">
        <f>IF($B693="","",COUNTA($B$4:$B693))</f>
        <v/>
      </c>
      <c r="B693" s="72" t="n"/>
      <c r="C693" s="40" t="n"/>
      <c r="D693" s="47" t="n"/>
      <c r="E693" s="47" t="n"/>
      <c r="F693" s="47" t="n"/>
    </row>
    <row r="694">
      <c r="A694" s="16">
        <f>IF($B694="","",COUNTA($B$4:$B694))</f>
        <v/>
      </c>
      <c r="B694" s="71" t="n"/>
      <c r="C694" s="38" t="n"/>
      <c r="D694" s="45" t="n"/>
      <c r="E694" s="45" t="n"/>
      <c r="F694" s="45" t="n"/>
    </row>
    <row r="695">
      <c r="A695" s="16">
        <f>IF($B695="","",COUNTA($B$4:$B695))</f>
        <v/>
      </c>
      <c r="B695" s="72" t="n"/>
      <c r="C695" s="40" t="n"/>
      <c r="D695" s="47" t="n"/>
      <c r="E695" s="47" t="n"/>
      <c r="F695" s="47" t="n"/>
    </row>
    <row r="696">
      <c r="A696" s="16">
        <f>IF($B696="","",COUNTA($B$4:$B696))</f>
        <v/>
      </c>
      <c r="B696" s="71" t="n"/>
      <c r="C696" s="38" t="n"/>
      <c r="D696" s="45" t="n"/>
      <c r="E696" s="45" t="n"/>
      <c r="F696" s="45" t="n"/>
    </row>
    <row r="697">
      <c r="A697" s="16">
        <f>IF($B697="","",COUNTA($B$4:$B697))</f>
        <v/>
      </c>
      <c r="B697" s="72" t="n"/>
      <c r="C697" s="40" t="n"/>
      <c r="D697" s="47" t="n"/>
      <c r="E697" s="47" t="n"/>
      <c r="F697" s="47" t="n"/>
    </row>
    <row r="698">
      <c r="A698" s="16">
        <f>IF($B698="","",COUNTA($B$4:$B698))</f>
        <v/>
      </c>
      <c r="B698" s="71" t="n"/>
      <c r="C698" s="38" t="n"/>
      <c r="D698" s="45" t="n"/>
      <c r="E698" s="45" t="n"/>
      <c r="F698" s="45" t="n"/>
    </row>
    <row r="699">
      <c r="A699" s="16">
        <f>IF($B699="","",COUNTA($B$4:$B699))</f>
        <v/>
      </c>
      <c r="B699" s="72" t="n"/>
      <c r="C699" s="40" t="n"/>
      <c r="D699" s="47" t="n"/>
      <c r="E699" s="47" t="n"/>
      <c r="F699" s="47" t="n"/>
    </row>
    <row r="700">
      <c r="A700" s="16">
        <f>IF($B700="","",COUNTA($B$4:$B700))</f>
        <v/>
      </c>
      <c r="B700" s="71" t="n"/>
      <c r="C700" s="38" t="n"/>
      <c r="D700" s="45" t="n"/>
      <c r="E700" s="45" t="n"/>
      <c r="F700" s="45" t="n"/>
    </row>
    <row r="701">
      <c r="A701" s="16">
        <f>IF($B701="","",COUNTA($B$4:$B701))</f>
        <v/>
      </c>
      <c r="B701" s="72" t="n"/>
      <c r="C701" s="40" t="n"/>
      <c r="D701" s="47" t="n"/>
      <c r="E701" s="47" t="n"/>
      <c r="F701" s="47" t="n"/>
    </row>
    <row r="702">
      <c r="A702" s="16">
        <f>IF($B702="","",COUNTA($B$4:$B702))</f>
        <v/>
      </c>
      <c r="B702" s="71" t="n"/>
      <c r="C702" s="38" t="n"/>
      <c r="D702" s="45" t="n"/>
      <c r="E702" s="45" t="n"/>
      <c r="F702" s="45" t="n"/>
    </row>
    <row r="703">
      <c r="A703" s="16">
        <f>IF($B703="","",COUNTA($B$4:$B703))</f>
        <v/>
      </c>
      <c r="B703" s="72" t="n"/>
      <c r="C703" s="40" t="n"/>
      <c r="D703" s="47" t="n"/>
      <c r="E703" s="47" t="n"/>
      <c r="F703" s="47" t="n"/>
    </row>
    <row r="704">
      <c r="A704" s="16">
        <f>IF($B704="","",COUNTA($B$4:$B704))</f>
        <v/>
      </c>
      <c r="B704" s="71" t="n"/>
      <c r="C704" s="38" t="n"/>
      <c r="D704" s="45" t="n"/>
      <c r="E704" s="45" t="n"/>
      <c r="F704" s="45" t="n"/>
    </row>
    <row r="705">
      <c r="A705" s="16">
        <f>IF($B705="","",COUNTA($B$4:$B705))</f>
        <v/>
      </c>
      <c r="B705" s="72" t="n"/>
      <c r="C705" s="40" t="n"/>
      <c r="D705" s="47" t="n"/>
      <c r="E705" s="47" t="n"/>
      <c r="F705" s="47" t="n"/>
    </row>
    <row r="706">
      <c r="A706" s="16">
        <f>IF($B706="","",COUNTA($B$4:$B706))</f>
        <v/>
      </c>
      <c r="B706" s="71" t="n"/>
      <c r="C706" s="38" t="n"/>
      <c r="D706" s="45" t="n"/>
      <c r="E706" s="45" t="n"/>
      <c r="F706" s="45" t="n"/>
    </row>
    <row r="707">
      <c r="A707" s="16">
        <f>IF($B707="","",COUNTA($B$4:$B707))</f>
        <v/>
      </c>
      <c r="B707" s="72" t="n"/>
      <c r="C707" s="40" t="n"/>
      <c r="D707" s="47" t="n"/>
      <c r="E707" s="47" t="n"/>
      <c r="F707" s="47" t="n"/>
    </row>
    <row r="708">
      <c r="A708" s="16">
        <f>IF($B708="","",COUNTA($B$4:$B708))</f>
        <v/>
      </c>
      <c r="B708" s="71" t="n"/>
      <c r="C708" s="38" t="n"/>
      <c r="D708" s="45" t="n"/>
      <c r="E708" s="45" t="n"/>
      <c r="F708" s="45" t="n"/>
    </row>
    <row r="709">
      <c r="A709" s="16">
        <f>IF($B709="","",COUNTA($B$4:$B709))</f>
        <v/>
      </c>
      <c r="B709" s="72" t="n"/>
      <c r="C709" s="40" t="n"/>
      <c r="D709" s="47" t="n"/>
      <c r="E709" s="47" t="n"/>
      <c r="F709" s="47" t="n"/>
    </row>
    <row r="710">
      <c r="A710" s="16">
        <f>IF($B710="","",COUNTA($B$4:$B710))</f>
        <v/>
      </c>
      <c r="B710" s="71" t="n"/>
      <c r="C710" s="38" t="n"/>
      <c r="D710" s="45" t="n"/>
      <c r="E710" s="45" t="n"/>
      <c r="F710" s="45" t="n"/>
    </row>
    <row r="711">
      <c r="A711" s="16">
        <f>IF($B711="","",COUNTA($B$4:$B711))</f>
        <v/>
      </c>
      <c r="B711" s="72" t="n"/>
      <c r="C711" s="40" t="n"/>
      <c r="D711" s="47" t="n"/>
      <c r="E711" s="47" t="n"/>
      <c r="F711" s="47" t="n"/>
    </row>
    <row r="712">
      <c r="A712" s="16">
        <f>IF($B712="","",COUNTA($B$4:$B712))</f>
        <v/>
      </c>
      <c r="B712" s="71" t="n"/>
      <c r="C712" s="38" t="n"/>
      <c r="D712" s="45" t="n"/>
      <c r="E712" s="45" t="n"/>
      <c r="F712" s="45" t="n"/>
    </row>
    <row r="713">
      <c r="A713" s="16">
        <f>IF($B713="","",COUNTA($B$4:$B713))</f>
        <v/>
      </c>
      <c r="B713" s="72" t="n"/>
      <c r="C713" s="40" t="n"/>
      <c r="D713" s="47" t="n"/>
      <c r="E713" s="47" t="n"/>
      <c r="F713" s="47" t="n"/>
    </row>
    <row r="714">
      <c r="A714" s="16">
        <f>IF($B714="","",COUNTA($B$4:$B714))</f>
        <v/>
      </c>
      <c r="B714" s="71" t="n"/>
      <c r="C714" s="38" t="n"/>
      <c r="D714" s="45" t="n"/>
      <c r="E714" s="45" t="n"/>
      <c r="F714" s="45" t="n"/>
    </row>
    <row r="715">
      <c r="A715" s="16">
        <f>IF($B715="","",COUNTA($B$4:$B715))</f>
        <v/>
      </c>
      <c r="B715" s="72" t="n"/>
      <c r="C715" s="40" t="n"/>
      <c r="D715" s="47" t="n"/>
      <c r="E715" s="47" t="n"/>
      <c r="F715" s="47" t="n"/>
    </row>
    <row r="716">
      <c r="A716" s="16">
        <f>IF($B716="","",COUNTA($B$4:$B716))</f>
        <v/>
      </c>
      <c r="B716" s="71" t="n"/>
      <c r="C716" s="38" t="n"/>
      <c r="D716" s="45" t="n"/>
      <c r="E716" s="45" t="n"/>
      <c r="F716" s="45" t="n"/>
    </row>
    <row r="717">
      <c r="A717" s="16">
        <f>IF($B717="","",COUNTA($B$4:$B717))</f>
        <v/>
      </c>
      <c r="B717" s="72" t="n"/>
      <c r="C717" s="40" t="n"/>
      <c r="D717" s="47" t="n"/>
      <c r="E717" s="47" t="n"/>
      <c r="F717" s="47" t="n"/>
    </row>
    <row r="718">
      <c r="A718" s="16">
        <f>IF($B718="","",COUNTA($B$4:$B718))</f>
        <v/>
      </c>
      <c r="B718" s="71" t="n"/>
      <c r="C718" s="38" t="n"/>
      <c r="D718" s="45" t="n"/>
      <c r="E718" s="45" t="n"/>
      <c r="F718" s="45" t="n"/>
    </row>
    <row r="719">
      <c r="A719" s="16">
        <f>IF($B719="","",COUNTA($B$4:$B719))</f>
        <v/>
      </c>
      <c r="B719" s="72" t="n"/>
      <c r="C719" s="40" t="n"/>
      <c r="D719" s="47" t="n"/>
      <c r="E719" s="47" t="n"/>
      <c r="F719" s="47" t="n"/>
    </row>
    <row r="720">
      <c r="A720" s="16">
        <f>IF($B720="","",COUNTA($B$4:$B720))</f>
        <v/>
      </c>
      <c r="B720" s="71" t="n"/>
      <c r="C720" s="38" t="n"/>
      <c r="D720" s="45" t="n"/>
      <c r="E720" s="45" t="n"/>
      <c r="F720" s="45" t="n"/>
    </row>
    <row r="721">
      <c r="A721" s="16">
        <f>IF($B721="","",COUNTA($B$4:$B721))</f>
        <v/>
      </c>
      <c r="B721" s="72" t="n"/>
      <c r="C721" s="40" t="n"/>
      <c r="D721" s="47" t="n"/>
      <c r="E721" s="47" t="n"/>
      <c r="F721" s="47" t="n"/>
    </row>
    <row r="722">
      <c r="A722" s="16">
        <f>IF($B722="","",COUNTA($B$4:$B722))</f>
        <v/>
      </c>
      <c r="B722" s="71" t="n"/>
      <c r="C722" s="38" t="n"/>
      <c r="D722" s="45" t="n"/>
      <c r="E722" s="45" t="n"/>
      <c r="F722" s="45" t="n"/>
    </row>
    <row r="723">
      <c r="A723" s="16">
        <f>IF($B723="","",COUNTA($B$4:$B723))</f>
        <v/>
      </c>
      <c r="B723" s="72" t="n"/>
      <c r="C723" s="40" t="n"/>
      <c r="D723" s="47" t="n"/>
      <c r="E723" s="47" t="n"/>
      <c r="F723" s="47" t="n"/>
    </row>
    <row r="724">
      <c r="A724" s="16">
        <f>IF($B724="","",COUNTA($B$4:$B724))</f>
        <v/>
      </c>
      <c r="B724" s="71" t="n"/>
      <c r="C724" s="38" t="n"/>
      <c r="D724" s="45" t="n"/>
      <c r="E724" s="45" t="n"/>
      <c r="F724" s="45" t="n"/>
    </row>
    <row r="725">
      <c r="A725" s="16">
        <f>IF($B725="","",COUNTA($B$4:$B725))</f>
        <v/>
      </c>
      <c r="B725" s="72" t="n"/>
      <c r="C725" s="40" t="n"/>
      <c r="D725" s="47" t="n"/>
      <c r="E725" s="47" t="n"/>
      <c r="F725" s="47" t="n"/>
    </row>
    <row r="726">
      <c r="A726" s="16">
        <f>IF($B726="","",COUNTA($B$4:$B726))</f>
        <v/>
      </c>
      <c r="B726" s="71" t="n"/>
      <c r="C726" s="38" t="n"/>
      <c r="D726" s="45" t="n"/>
      <c r="E726" s="45" t="n"/>
      <c r="F726" s="45" t="n"/>
    </row>
    <row r="727">
      <c r="A727" s="16">
        <f>IF($B727="","",COUNTA($B$4:$B727))</f>
        <v/>
      </c>
      <c r="B727" s="72" t="n"/>
      <c r="C727" s="40" t="n"/>
      <c r="D727" s="47" t="n"/>
      <c r="E727" s="47" t="n"/>
      <c r="F727" s="47" t="n"/>
    </row>
    <row r="728">
      <c r="A728" s="16">
        <f>IF($B728="","",COUNTA($B$4:$B728))</f>
        <v/>
      </c>
      <c r="B728" s="71" t="n"/>
      <c r="C728" s="38" t="n"/>
      <c r="D728" s="45" t="n"/>
      <c r="E728" s="45" t="n"/>
      <c r="F728" s="45" t="n"/>
    </row>
    <row r="729">
      <c r="A729" s="16">
        <f>IF($B729="","",COUNTA($B$4:$B729))</f>
        <v/>
      </c>
      <c r="B729" s="72" t="n"/>
      <c r="C729" s="40" t="n"/>
      <c r="D729" s="47" t="n"/>
      <c r="E729" s="47" t="n"/>
      <c r="F729" s="47" t="n"/>
    </row>
    <row r="730">
      <c r="A730" s="16">
        <f>IF($B730="","",COUNTA($B$4:$B730))</f>
        <v/>
      </c>
      <c r="B730" s="71" t="n"/>
      <c r="C730" s="38" t="n"/>
      <c r="D730" s="45" t="n"/>
      <c r="E730" s="45" t="n"/>
      <c r="F730" s="45" t="n"/>
    </row>
    <row r="731">
      <c r="A731" s="16">
        <f>IF($B731="","",COUNTA($B$4:$B731))</f>
        <v/>
      </c>
      <c r="B731" s="72" t="n"/>
      <c r="C731" s="40" t="n"/>
      <c r="D731" s="47" t="n"/>
      <c r="E731" s="47" t="n"/>
      <c r="F731" s="47" t="n"/>
    </row>
    <row r="732">
      <c r="A732" s="16">
        <f>IF($B732="","",COUNTA($B$4:$B732))</f>
        <v/>
      </c>
      <c r="B732" s="71" t="n"/>
      <c r="C732" s="38" t="n"/>
      <c r="D732" s="45" t="n"/>
      <c r="E732" s="45" t="n"/>
      <c r="F732" s="45" t="n"/>
    </row>
    <row r="733">
      <c r="A733" s="16">
        <f>IF($B733="","",COUNTA($B$4:$B733))</f>
        <v/>
      </c>
      <c r="B733" s="72" t="n"/>
      <c r="C733" s="40" t="n"/>
      <c r="D733" s="47" t="n"/>
      <c r="E733" s="47" t="n"/>
      <c r="F733" s="47" t="n"/>
    </row>
    <row r="734">
      <c r="A734" s="16">
        <f>IF($B734="","",COUNTA($B$4:$B734))</f>
        <v/>
      </c>
      <c r="B734" s="71" t="n"/>
      <c r="C734" s="38" t="n"/>
      <c r="D734" s="45" t="n"/>
      <c r="E734" s="45" t="n"/>
      <c r="F734" s="45" t="n"/>
    </row>
    <row r="735">
      <c r="A735" s="16">
        <f>IF($B735="","",COUNTA($B$4:$B735))</f>
        <v/>
      </c>
      <c r="B735" s="72" t="n"/>
      <c r="C735" s="40" t="n"/>
      <c r="D735" s="47" t="n"/>
      <c r="E735" s="47" t="n"/>
      <c r="F735" s="47" t="n"/>
    </row>
    <row r="736">
      <c r="A736" s="16">
        <f>IF($B736="","",COUNTA($B$4:$B736))</f>
        <v/>
      </c>
      <c r="B736" s="71" t="n"/>
      <c r="C736" s="38" t="n"/>
      <c r="D736" s="45" t="n"/>
      <c r="E736" s="45" t="n"/>
      <c r="F736" s="45" t="n"/>
    </row>
    <row r="737">
      <c r="A737" s="16">
        <f>IF($B737="","",COUNTA($B$4:$B737))</f>
        <v/>
      </c>
      <c r="B737" s="72" t="n"/>
      <c r="C737" s="40" t="n"/>
      <c r="D737" s="47" t="n"/>
      <c r="E737" s="47" t="n"/>
      <c r="F737" s="47" t="n"/>
    </row>
    <row r="738">
      <c r="A738" s="16">
        <f>IF($B738="","",COUNTA($B$4:$B738))</f>
        <v/>
      </c>
      <c r="B738" s="71" t="n"/>
      <c r="C738" s="38" t="n"/>
      <c r="D738" s="45" t="n"/>
      <c r="E738" s="45" t="n"/>
      <c r="F738" s="45" t="n"/>
    </row>
    <row r="739">
      <c r="A739" s="16">
        <f>IF($B739="","",COUNTA($B$4:$B739))</f>
        <v/>
      </c>
      <c r="B739" s="72" t="n"/>
      <c r="C739" s="40" t="n"/>
      <c r="D739" s="47" t="n"/>
      <c r="E739" s="47" t="n"/>
      <c r="F739" s="47" t="n"/>
    </row>
    <row r="740">
      <c r="A740" s="16">
        <f>IF($B740="","",COUNTA($B$4:$B740))</f>
        <v/>
      </c>
      <c r="B740" s="71" t="n"/>
      <c r="C740" s="38" t="n"/>
      <c r="D740" s="45" t="n"/>
      <c r="E740" s="45" t="n"/>
      <c r="F740" s="45" t="n"/>
    </row>
    <row r="741">
      <c r="A741" s="16">
        <f>IF($B741="","",COUNTA($B$4:$B741))</f>
        <v/>
      </c>
      <c r="B741" s="72" t="n"/>
      <c r="C741" s="40" t="n"/>
      <c r="D741" s="47" t="n"/>
      <c r="E741" s="47" t="n"/>
      <c r="F741" s="47" t="n"/>
    </row>
    <row r="742">
      <c r="A742" s="16">
        <f>IF($B742="","",COUNTA($B$4:$B742))</f>
        <v/>
      </c>
      <c r="B742" s="71" t="n"/>
      <c r="C742" s="38" t="n"/>
      <c r="D742" s="45" t="n"/>
      <c r="E742" s="45" t="n"/>
      <c r="F742" s="45" t="n"/>
    </row>
    <row r="743">
      <c r="A743" s="16">
        <f>IF($B743="","",COUNTA($B$4:$B743))</f>
        <v/>
      </c>
      <c r="B743" s="72" t="n"/>
      <c r="C743" s="40" t="n"/>
      <c r="D743" s="47" t="n"/>
      <c r="E743" s="47" t="n"/>
      <c r="F743" s="47" t="n"/>
    </row>
    <row r="744">
      <c r="A744" s="16">
        <f>IF($B744="","",COUNTA($B$4:$B744))</f>
        <v/>
      </c>
      <c r="B744" s="71" t="n"/>
      <c r="C744" s="38" t="n"/>
      <c r="D744" s="45" t="n"/>
      <c r="E744" s="45" t="n"/>
      <c r="F744" s="45" t="n"/>
    </row>
    <row r="745">
      <c r="A745" s="16">
        <f>IF($B745="","",COUNTA($B$4:$B745))</f>
        <v/>
      </c>
      <c r="B745" s="72" t="n"/>
      <c r="C745" s="40" t="n"/>
      <c r="D745" s="47" t="n"/>
      <c r="E745" s="47" t="n"/>
      <c r="F745" s="47" t="n"/>
    </row>
    <row r="746">
      <c r="A746" s="16">
        <f>IF($B746="","",COUNTA($B$4:$B746))</f>
        <v/>
      </c>
      <c r="B746" s="71" t="n"/>
      <c r="C746" s="38" t="n"/>
      <c r="D746" s="45" t="n"/>
      <c r="E746" s="45" t="n"/>
      <c r="F746" s="45" t="n"/>
    </row>
    <row r="747">
      <c r="A747" s="16">
        <f>IF($B747="","",COUNTA($B$4:$B747))</f>
        <v/>
      </c>
      <c r="B747" s="72" t="n"/>
      <c r="C747" s="40" t="n"/>
      <c r="D747" s="47" t="n"/>
      <c r="E747" s="47" t="n"/>
      <c r="F747" s="47" t="n"/>
    </row>
    <row r="748">
      <c r="A748" s="16">
        <f>IF($B748="","",COUNTA($B$4:$B748))</f>
        <v/>
      </c>
      <c r="B748" s="71" t="n"/>
      <c r="C748" s="38" t="n"/>
      <c r="D748" s="45" t="n"/>
      <c r="E748" s="45" t="n"/>
      <c r="F748" s="45" t="n"/>
    </row>
    <row r="749">
      <c r="A749" s="16">
        <f>IF($B749="","",COUNTA($B$4:$B749))</f>
        <v/>
      </c>
      <c r="B749" s="72" t="n"/>
      <c r="C749" s="40" t="n"/>
      <c r="D749" s="47" t="n"/>
      <c r="E749" s="47" t="n"/>
      <c r="F749" s="47" t="n"/>
    </row>
    <row r="750">
      <c r="A750" s="16">
        <f>IF($B750="","",COUNTA($B$4:$B750))</f>
        <v/>
      </c>
      <c r="B750" s="71" t="n"/>
      <c r="C750" s="38" t="n"/>
      <c r="D750" s="45" t="n"/>
      <c r="E750" s="45" t="n"/>
      <c r="F750" s="45" t="n"/>
    </row>
    <row r="751">
      <c r="A751" s="16">
        <f>IF($B751="","",COUNTA($B$4:$B751))</f>
        <v/>
      </c>
      <c r="B751" s="72" t="n"/>
      <c r="C751" s="40" t="n"/>
      <c r="D751" s="47" t="n"/>
      <c r="E751" s="47" t="n"/>
      <c r="F751" s="47" t="n"/>
    </row>
    <row r="752">
      <c r="A752" s="16">
        <f>IF($B752="","",COUNTA($B$4:$B752))</f>
        <v/>
      </c>
      <c r="B752" s="71" t="n"/>
      <c r="C752" s="38" t="n"/>
      <c r="D752" s="45" t="n"/>
      <c r="E752" s="45" t="n"/>
      <c r="F752" s="45" t="n"/>
    </row>
    <row r="753">
      <c r="A753" s="16">
        <f>IF($B753="","",COUNTA($B$4:$B753))</f>
        <v/>
      </c>
      <c r="B753" s="72" t="n"/>
      <c r="C753" s="40" t="n"/>
      <c r="D753" s="47" t="n"/>
      <c r="E753" s="47" t="n"/>
      <c r="F753" s="47" t="n"/>
    </row>
    <row r="754">
      <c r="A754" s="16">
        <f>IF($B754="","",COUNTA($B$4:$B754))</f>
        <v/>
      </c>
      <c r="B754" s="71" t="n"/>
      <c r="C754" s="38" t="n"/>
      <c r="D754" s="45" t="n"/>
      <c r="E754" s="45" t="n"/>
      <c r="F754" s="45" t="n"/>
    </row>
    <row r="755">
      <c r="A755" s="16">
        <f>IF($B755="","",COUNTA($B$4:$B755))</f>
        <v/>
      </c>
      <c r="B755" s="72" t="n"/>
      <c r="C755" s="40" t="n"/>
      <c r="D755" s="47" t="n"/>
      <c r="E755" s="47" t="n"/>
      <c r="F755" s="47" t="n"/>
    </row>
    <row r="756">
      <c r="A756" s="16">
        <f>IF($B756="","",COUNTA($B$4:$B756))</f>
        <v/>
      </c>
      <c r="B756" s="71" t="n"/>
      <c r="C756" s="38" t="n"/>
      <c r="D756" s="45" t="n"/>
      <c r="E756" s="45" t="n"/>
      <c r="F756" s="45" t="n"/>
    </row>
    <row r="757">
      <c r="A757" s="16">
        <f>IF($B757="","",COUNTA($B$4:$B757))</f>
        <v/>
      </c>
      <c r="B757" s="72" t="n"/>
      <c r="C757" s="40" t="n"/>
      <c r="D757" s="47" t="n"/>
      <c r="E757" s="47" t="n"/>
      <c r="F757" s="47" t="n"/>
    </row>
    <row r="758">
      <c r="A758" s="16">
        <f>IF($B758="","",COUNTA($B$4:$B758))</f>
        <v/>
      </c>
      <c r="B758" s="71" t="n"/>
      <c r="C758" s="38" t="n"/>
      <c r="D758" s="45" t="n"/>
      <c r="E758" s="45" t="n"/>
      <c r="F758" s="45" t="n"/>
    </row>
    <row r="759">
      <c r="A759" s="16">
        <f>IF($B759="","",COUNTA($B$4:$B759))</f>
        <v/>
      </c>
      <c r="B759" s="72" t="n"/>
      <c r="C759" s="40" t="n"/>
      <c r="D759" s="47" t="n"/>
      <c r="E759" s="47" t="n"/>
      <c r="F759" s="47" t="n"/>
    </row>
    <row r="760">
      <c r="A760" s="16">
        <f>IF($B760="","",COUNTA($B$4:$B760))</f>
        <v/>
      </c>
      <c r="B760" s="71" t="n"/>
      <c r="C760" s="38" t="n"/>
      <c r="D760" s="45" t="n"/>
      <c r="E760" s="45" t="n"/>
      <c r="F760" s="45" t="n"/>
    </row>
    <row r="761">
      <c r="A761" s="16">
        <f>IF($B761="","",COUNTA($B$4:$B761))</f>
        <v/>
      </c>
      <c r="B761" s="72" t="n"/>
      <c r="C761" s="40" t="n"/>
      <c r="D761" s="47" t="n"/>
      <c r="E761" s="47" t="n"/>
      <c r="F761" s="47" t="n"/>
    </row>
    <row r="762">
      <c r="A762" s="16">
        <f>IF($B762="","",COUNTA($B$4:$B762))</f>
        <v/>
      </c>
      <c r="B762" s="71" t="n"/>
      <c r="C762" s="38" t="n"/>
      <c r="D762" s="45" t="n"/>
      <c r="E762" s="45" t="n"/>
      <c r="F762" s="45" t="n"/>
    </row>
    <row r="763">
      <c r="A763" s="16">
        <f>IF($B763="","",COUNTA($B$4:$B763))</f>
        <v/>
      </c>
      <c r="B763" s="72" t="n"/>
      <c r="C763" s="40" t="n"/>
      <c r="D763" s="47" t="n"/>
      <c r="E763" s="47" t="n"/>
      <c r="F763" s="47" t="n"/>
    </row>
    <row r="764">
      <c r="A764" s="16">
        <f>IF($B764="","",COUNTA($B$4:$B764))</f>
        <v/>
      </c>
      <c r="B764" s="71" t="n"/>
      <c r="C764" s="38" t="n"/>
      <c r="D764" s="45" t="n"/>
      <c r="E764" s="45" t="n"/>
      <c r="F764" s="45" t="n"/>
    </row>
    <row r="765">
      <c r="A765" s="16">
        <f>IF($B765="","",COUNTA($B$4:$B765))</f>
        <v/>
      </c>
      <c r="B765" s="72" t="n"/>
      <c r="C765" s="40" t="n"/>
      <c r="D765" s="47" t="n"/>
      <c r="E765" s="47" t="n"/>
      <c r="F765" s="47" t="n"/>
    </row>
    <row r="766">
      <c r="A766" s="16">
        <f>IF($B766="","",COUNTA($B$4:$B766))</f>
        <v/>
      </c>
      <c r="B766" s="71" t="n"/>
      <c r="C766" s="38" t="n"/>
      <c r="D766" s="45" t="n"/>
      <c r="E766" s="45" t="n"/>
      <c r="F766" s="45" t="n"/>
    </row>
    <row r="767">
      <c r="A767" s="16">
        <f>IF($B767="","",COUNTA($B$4:$B767))</f>
        <v/>
      </c>
      <c r="B767" s="72" t="n"/>
      <c r="C767" s="40" t="n"/>
      <c r="D767" s="47" t="n"/>
      <c r="E767" s="47" t="n"/>
      <c r="F767" s="47" t="n"/>
    </row>
    <row r="768">
      <c r="A768" s="16">
        <f>IF($B768="","",COUNTA($B$4:$B768))</f>
        <v/>
      </c>
      <c r="B768" s="71" t="n"/>
      <c r="C768" s="38" t="n"/>
      <c r="D768" s="45" t="n"/>
      <c r="E768" s="45" t="n"/>
      <c r="F768" s="45" t="n"/>
    </row>
    <row r="769">
      <c r="A769" s="16">
        <f>IF($B769="","",COUNTA($B$4:$B769))</f>
        <v/>
      </c>
      <c r="B769" s="72" t="n"/>
      <c r="C769" s="40" t="n"/>
      <c r="D769" s="47" t="n"/>
      <c r="E769" s="47" t="n"/>
      <c r="F769" s="47" t="n"/>
    </row>
    <row r="770">
      <c r="A770" s="16">
        <f>IF($B770="","",COUNTA($B$4:$B770))</f>
        <v/>
      </c>
      <c r="B770" s="71" t="n"/>
      <c r="C770" s="38" t="n"/>
      <c r="D770" s="45" t="n"/>
      <c r="E770" s="45" t="n"/>
      <c r="F770" s="45" t="n"/>
    </row>
    <row r="771">
      <c r="A771" s="16">
        <f>IF($B771="","",COUNTA($B$4:$B771))</f>
        <v/>
      </c>
      <c r="B771" s="72" t="n"/>
      <c r="C771" s="40" t="n"/>
      <c r="D771" s="47" t="n"/>
      <c r="E771" s="47" t="n"/>
      <c r="F771" s="47" t="n"/>
    </row>
    <row r="772">
      <c r="A772" s="16">
        <f>IF($B772="","",COUNTA($B$4:$B772))</f>
        <v/>
      </c>
      <c r="B772" s="71" t="n"/>
      <c r="C772" s="38" t="n"/>
      <c r="D772" s="45" t="n"/>
      <c r="E772" s="45" t="n"/>
      <c r="F772" s="45" t="n"/>
    </row>
    <row r="773">
      <c r="A773" s="16">
        <f>IF($B773="","",COUNTA($B$4:$B773))</f>
        <v/>
      </c>
      <c r="B773" s="72" t="n"/>
      <c r="C773" s="40" t="n"/>
      <c r="D773" s="47" t="n"/>
      <c r="E773" s="47" t="n"/>
      <c r="F773" s="47" t="n"/>
    </row>
    <row r="774">
      <c r="A774" s="16">
        <f>IF($B774="","",COUNTA($B$4:$B774))</f>
        <v/>
      </c>
      <c r="B774" s="71" t="n"/>
      <c r="C774" s="38" t="n"/>
      <c r="D774" s="45" t="n"/>
      <c r="E774" s="45" t="n"/>
      <c r="F774" s="45" t="n"/>
    </row>
    <row r="775">
      <c r="A775" s="16">
        <f>IF($B775="","",COUNTA($B$4:$B775))</f>
        <v/>
      </c>
      <c r="B775" s="72" t="n"/>
      <c r="C775" s="40" t="n"/>
      <c r="D775" s="47" t="n"/>
      <c r="E775" s="47" t="n"/>
      <c r="F775" s="47" t="n"/>
    </row>
    <row r="776">
      <c r="A776" s="16">
        <f>IF($B776="","",COUNTA($B$4:$B776))</f>
        <v/>
      </c>
      <c r="B776" s="71" t="n"/>
      <c r="C776" s="38" t="n"/>
      <c r="D776" s="45" t="n"/>
      <c r="E776" s="45" t="n"/>
      <c r="F776" s="45" t="n"/>
    </row>
    <row r="777">
      <c r="A777" s="16">
        <f>IF($B777="","",COUNTA($B$4:$B777))</f>
        <v/>
      </c>
      <c r="B777" s="72" t="n"/>
      <c r="C777" s="40" t="n"/>
      <c r="D777" s="47" t="n"/>
      <c r="E777" s="47" t="n"/>
      <c r="F777" s="47" t="n"/>
    </row>
    <row r="778">
      <c r="A778" s="16">
        <f>IF($B778="","",COUNTA($B$4:$B778))</f>
        <v/>
      </c>
      <c r="B778" s="71" t="n"/>
      <c r="C778" s="38" t="n"/>
      <c r="D778" s="45" t="n"/>
      <c r="E778" s="45" t="n"/>
      <c r="F778" s="45" t="n"/>
    </row>
    <row r="779">
      <c r="A779" s="16">
        <f>IF($B779="","",COUNTA($B$4:$B779))</f>
        <v/>
      </c>
      <c r="B779" s="72" t="n"/>
      <c r="C779" s="40" t="n"/>
      <c r="D779" s="47" t="n"/>
      <c r="E779" s="47" t="n"/>
      <c r="F779" s="47" t="n"/>
    </row>
    <row r="780">
      <c r="A780" s="16">
        <f>IF($B780="","",COUNTA($B$4:$B780))</f>
        <v/>
      </c>
      <c r="B780" s="71" t="n"/>
      <c r="C780" s="38" t="n"/>
      <c r="D780" s="45" t="n"/>
      <c r="E780" s="45" t="n"/>
      <c r="F780" s="45" t="n"/>
    </row>
    <row r="781">
      <c r="A781" s="16">
        <f>IF($B781="","",COUNTA($B$4:$B781))</f>
        <v/>
      </c>
      <c r="B781" s="72" t="n"/>
      <c r="C781" s="40" t="n"/>
      <c r="D781" s="47" t="n"/>
      <c r="E781" s="47" t="n"/>
      <c r="F781" s="47" t="n"/>
    </row>
    <row r="782">
      <c r="A782" s="16">
        <f>IF($B782="","",COUNTA($B$4:$B782))</f>
        <v/>
      </c>
      <c r="B782" s="71" t="n"/>
      <c r="C782" s="38" t="n"/>
      <c r="D782" s="45" t="n"/>
      <c r="E782" s="45" t="n"/>
      <c r="F782" s="45" t="n"/>
    </row>
    <row r="783">
      <c r="A783" s="16">
        <f>IF($B783="","",COUNTA($B$4:$B783))</f>
        <v/>
      </c>
      <c r="B783" s="72" t="n"/>
      <c r="C783" s="40" t="n"/>
      <c r="D783" s="47" t="n"/>
      <c r="E783" s="47" t="n"/>
      <c r="F783" s="47" t="n"/>
    </row>
    <row r="784">
      <c r="A784" s="16">
        <f>IF($B784="","",COUNTA($B$4:$B784))</f>
        <v/>
      </c>
      <c r="B784" s="71" t="n"/>
      <c r="C784" s="38" t="n"/>
      <c r="D784" s="45" t="n"/>
      <c r="E784" s="45" t="n"/>
      <c r="F784" s="45" t="n"/>
    </row>
    <row r="785">
      <c r="A785" s="16">
        <f>IF($B785="","",COUNTA($B$4:$B785))</f>
        <v/>
      </c>
      <c r="B785" s="72" t="n"/>
      <c r="C785" s="40" t="n"/>
      <c r="D785" s="47" t="n"/>
      <c r="E785" s="47" t="n"/>
      <c r="F785" s="47" t="n"/>
    </row>
    <row r="786">
      <c r="A786" s="16">
        <f>IF($B786="","",COUNTA($B$4:$B786))</f>
        <v/>
      </c>
      <c r="B786" s="71" t="n"/>
      <c r="C786" s="38" t="n"/>
      <c r="D786" s="45" t="n"/>
      <c r="E786" s="45" t="n"/>
      <c r="F786" s="45" t="n"/>
    </row>
    <row r="787">
      <c r="A787" s="16">
        <f>IF($B787="","",COUNTA($B$4:$B787))</f>
        <v/>
      </c>
      <c r="B787" s="72" t="n"/>
      <c r="C787" s="40" t="n"/>
      <c r="D787" s="47" t="n"/>
      <c r="E787" s="47" t="n"/>
      <c r="F787" s="47" t="n"/>
    </row>
    <row r="788">
      <c r="A788" s="16">
        <f>IF($B788="","",COUNTA($B$4:$B788))</f>
        <v/>
      </c>
      <c r="B788" s="71" t="n"/>
      <c r="C788" s="38" t="n"/>
      <c r="D788" s="45" t="n"/>
      <c r="E788" s="45" t="n"/>
      <c r="F788" s="45" t="n"/>
    </row>
    <row r="789">
      <c r="A789" s="16">
        <f>IF($B789="","",COUNTA($B$4:$B789))</f>
        <v/>
      </c>
      <c r="B789" s="72" t="n"/>
      <c r="C789" s="40" t="n"/>
      <c r="D789" s="47" t="n"/>
      <c r="E789" s="47" t="n"/>
      <c r="F789" s="47" t="n"/>
    </row>
    <row r="790">
      <c r="A790" s="16">
        <f>IF($B790="","",COUNTA($B$4:$B790))</f>
        <v/>
      </c>
      <c r="B790" s="71" t="n"/>
      <c r="C790" s="38" t="n"/>
      <c r="D790" s="45" t="n"/>
      <c r="E790" s="45" t="n"/>
      <c r="F790" s="45" t="n"/>
    </row>
    <row r="791">
      <c r="A791" s="16">
        <f>IF($B791="","",COUNTA($B$4:$B791))</f>
        <v/>
      </c>
      <c r="B791" s="72" t="n"/>
      <c r="C791" s="40" t="n"/>
      <c r="D791" s="47" t="n"/>
      <c r="E791" s="47" t="n"/>
      <c r="F791" s="47" t="n"/>
    </row>
    <row r="792">
      <c r="A792" s="16">
        <f>IF($B792="","",COUNTA($B$4:$B792))</f>
        <v/>
      </c>
      <c r="B792" s="71" t="n"/>
      <c r="C792" s="38" t="n"/>
      <c r="D792" s="45" t="n"/>
      <c r="E792" s="45" t="n"/>
      <c r="F792" s="45" t="n"/>
    </row>
    <row r="793">
      <c r="A793" s="16">
        <f>IF($B793="","",COUNTA($B$4:$B793))</f>
        <v/>
      </c>
      <c r="B793" s="72" t="n"/>
      <c r="C793" s="40" t="n"/>
      <c r="D793" s="47" t="n"/>
      <c r="E793" s="47" t="n"/>
      <c r="F793" s="47" t="n"/>
    </row>
    <row r="794">
      <c r="A794" s="16">
        <f>IF($B794="","",COUNTA($B$4:$B794))</f>
        <v/>
      </c>
      <c r="B794" s="71" t="n"/>
      <c r="C794" s="38" t="n"/>
      <c r="D794" s="45" t="n"/>
      <c r="E794" s="45" t="n"/>
      <c r="F794" s="45" t="n"/>
    </row>
    <row r="795">
      <c r="A795" s="16">
        <f>IF($B795="","",COUNTA($B$4:$B795))</f>
        <v/>
      </c>
      <c r="B795" s="72" t="n"/>
      <c r="C795" s="40" t="n"/>
      <c r="D795" s="47" t="n"/>
      <c r="E795" s="47" t="n"/>
      <c r="F795" s="47" t="n"/>
    </row>
    <row r="796">
      <c r="A796" s="16">
        <f>IF($B796="","",COUNTA($B$4:$B796))</f>
        <v/>
      </c>
      <c r="B796" s="71" t="n"/>
      <c r="C796" s="38" t="n"/>
      <c r="D796" s="45" t="n"/>
      <c r="E796" s="45" t="n"/>
      <c r="F796" s="45" t="n"/>
    </row>
    <row r="797">
      <c r="A797" s="16">
        <f>IF($B797="","",COUNTA($B$4:$B797))</f>
        <v/>
      </c>
      <c r="B797" s="72" t="n"/>
      <c r="C797" s="40" t="n"/>
      <c r="D797" s="47" t="n"/>
      <c r="E797" s="47" t="n"/>
      <c r="F797" s="47" t="n"/>
    </row>
    <row r="798">
      <c r="A798" s="16">
        <f>IF($B798="","",COUNTA($B$4:$B798))</f>
        <v/>
      </c>
      <c r="B798" s="71" t="n"/>
      <c r="C798" s="38" t="n"/>
      <c r="D798" s="45" t="n"/>
      <c r="E798" s="45" t="n"/>
      <c r="F798" s="45" t="n"/>
    </row>
    <row r="799">
      <c r="A799" s="16">
        <f>IF($B799="","",COUNTA($B$4:$B799))</f>
        <v/>
      </c>
      <c r="B799" s="72" t="n"/>
      <c r="C799" s="40" t="n"/>
      <c r="D799" s="47" t="n"/>
      <c r="E799" s="47" t="n"/>
      <c r="F799" s="47" t="n"/>
    </row>
    <row r="800">
      <c r="A800" s="16">
        <f>IF($B800="","",COUNTA($B$4:$B800))</f>
        <v/>
      </c>
      <c r="B800" s="71" t="n"/>
      <c r="C800" s="38" t="n"/>
      <c r="D800" s="45" t="n"/>
      <c r="E800" s="45" t="n"/>
      <c r="F800" s="45" t="n"/>
    </row>
    <row r="801">
      <c r="A801" s="16">
        <f>IF($B801="","",COUNTA($B$4:$B801))</f>
        <v/>
      </c>
      <c r="B801" s="72" t="n"/>
      <c r="C801" s="40" t="n"/>
      <c r="D801" s="47" t="n"/>
      <c r="E801" s="47" t="n"/>
      <c r="F801" s="47" t="n"/>
    </row>
    <row r="802">
      <c r="A802" s="16">
        <f>IF($B802="","",COUNTA($B$4:$B802))</f>
        <v/>
      </c>
      <c r="B802" s="71" t="n"/>
      <c r="C802" s="38" t="n"/>
      <c r="D802" s="45" t="n"/>
      <c r="E802" s="45" t="n"/>
      <c r="F802" s="45" t="n"/>
    </row>
    <row r="803">
      <c r="A803" s="16">
        <f>IF($B803="","",COUNTA($B$4:$B803))</f>
        <v/>
      </c>
      <c r="B803" s="72" t="n"/>
      <c r="C803" s="40" t="n"/>
      <c r="D803" s="47" t="n"/>
      <c r="E803" s="47" t="n"/>
      <c r="F803" s="47" t="n"/>
    </row>
    <row r="804">
      <c r="A804" s="16">
        <f>IF($B804="","",COUNTA($B$4:$B804))</f>
        <v/>
      </c>
      <c r="B804" s="71" t="n"/>
      <c r="C804" s="38" t="n"/>
      <c r="D804" s="45" t="n"/>
      <c r="E804" s="45" t="n"/>
      <c r="F804" s="45" t="n"/>
    </row>
    <row r="805">
      <c r="A805" s="16">
        <f>IF($B805="","",COUNTA($B$4:$B805))</f>
        <v/>
      </c>
      <c r="B805" s="72" t="n"/>
      <c r="C805" s="40" t="n"/>
      <c r="D805" s="47" t="n"/>
      <c r="E805" s="47" t="n"/>
      <c r="F805" s="47" t="n"/>
    </row>
    <row r="806">
      <c r="A806" s="16">
        <f>IF($B806="","",COUNTA($B$4:$B806))</f>
        <v/>
      </c>
      <c r="B806" s="71" t="n"/>
      <c r="C806" s="38" t="n"/>
      <c r="D806" s="45" t="n"/>
      <c r="E806" s="45" t="n"/>
      <c r="F806" s="45" t="n"/>
    </row>
    <row r="807">
      <c r="A807" s="16">
        <f>IF($B807="","",COUNTA($B$4:$B807))</f>
        <v/>
      </c>
      <c r="B807" s="72" t="n"/>
      <c r="C807" s="40" t="n"/>
      <c r="D807" s="47" t="n"/>
      <c r="E807" s="47" t="n"/>
      <c r="F807" s="47" t="n"/>
    </row>
    <row r="808">
      <c r="A808" s="16">
        <f>IF($B808="","",COUNTA($B$4:$B808))</f>
        <v/>
      </c>
      <c r="B808" s="71" t="n"/>
      <c r="C808" s="38" t="n"/>
      <c r="D808" s="45" t="n"/>
      <c r="E808" s="45" t="n"/>
      <c r="F808" s="45" t="n"/>
    </row>
    <row r="809">
      <c r="A809" s="16">
        <f>IF($B809="","",COUNTA($B$4:$B809))</f>
        <v/>
      </c>
      <c r="B809" s="72" t="n"/>
      <c r="C809" s="40" t="n"/>
      <c r="D809" s="47" t="n"/>
      <c r="E809" s="47" t="n"/>
      <c r="F809" s="47" t="n"/>
    </row>
    <row r="810">
      <c r="A810" s="16">
        <f>IF($B810="","",COUNTA($B$4:$B810))</f>
        <v/>
      </c>
      <c r="B810" s="71" t="n"/>
      <c r="C810" s="38" t="n"/>
      <c r="D810" s="45" t="n"/>
      <c r="E810" s="45" t="n"/>
      <c r="F810" s="45" t="n"/>
    </row>
    <row r="811">
      <c r="A811" s="16">
        <f>IF($B811="","",COUNTA($B$4:$B811))</f>
        <v/>
      </c>
      <c r="B811" s="72" t="n"/>
      <c r="C811" s="40" t="n"/>
      <c r="D811" s="47" t="n"/>
      <c r="E811" s="47" t="n"/>
      <c r="F811" s="47" t="n"/>
    </row>
    <row r="812">
      <c r="A812" s="16">
        <f>IF($B812="","",COUNTA($B$4:$B812))</f>
        <v/>
      </c>
      <c r="B812" s="71" t="n"/>
      <c r="C812" s="38" t="n"/>
      <c r="D812" s="45" t="n"/>
      <c r="E812" s="45" t="n"/>
      <c r="F812" s="45" t="n"/>
    </row>
    <row r="813">
      <c r="A813" s="16">
        <f>IF($B813="","",COUNTA($B$4:$B813))</f>
        <v/>
      </c>
      <c r="B813" s="72" t="n"/>
      <c r="C813" s="40" t="n"/>
      <c r="D813" s="47" t="n"/>
      <c r="E813" s="47" t="n"/>
      <c r="F813" s="47" t="n"/>
    </row>
    <row r="814">
      <c r="A814" s="16">
        <f>IF($B814="","",COUNTA($B$4:$B814))</f>
        <v/>
      </c>
      <c r="B814" s="71" t="n"/>
      <c r="C814" s="38" t="n"/>
      <c r="D814" s="45" t="n"/>
      <c r="E814" s="45" t="n"/>
      <c r="F814" s="45" t="n"/>
    </row>
    <row r="815">
      <c r="A815" s="16">
        <f>IF($B815="","",COUNTA($B$4:$B815))</f>
        <v/>
      </c>
      <c r="B815" s="72" t="n"/>
      <c r="C815" s="40" t="n"/>
      <c r="D815" s="47" t="n"/>
      <c r="E815" s="47" t="n"/>
      <c r="F815" s="47" t="n"/>
    </row>
    <row r="816">
      <c r="A816" s="16">
        <f>IF($B816="","",COUNTA($B$4:$B816))</f>
        <v/>
      </c>
      <c r="B816" s="71" t="n"/>
      <c r="C816" s="38" t="n"/>
      <c r="D816" s="45" t="n"/>
      <c r="E816" s="45" t="n"/>
      <c r="F816" s="45" t="n"/>
    </row>
    <row r="817">
      <c r="A817" s="16">
        <f>IF($B817="","",COUNTA($B$4:$B817))</f>
        <v/>
      </c>
      <c r="B817" s="72" t="n"/>
      <c r="C817" s="40" t="n"/>
      <c r="D817" s="47" t="n"/>
      <c r="E817" s="47" t="n"/>
      <c r="F817" s="47" t="n"/>
    </row>
    <row r="818">
      <c r="A818" s="16">
        <f>IF($B818="","",COUNTA($B$4:$B818))</f>
        <v/>
      </c>
      <c r="B818" s="71" t="n"/>
      <c r="C818" s="38" t="n"/>
      <c r="D818" s="45" t="n"/>
      <c r="E818" s="45" t="n"/>
      <c r="F818" s="45" t="n"/>
    </row>
    <row r="819">
      <c r="A819" s="16">
        <f>IF($B819="","",COUNTA($B$4:$B819))</f>
        <v/>
      </c>
      <c r="B819" s="72" t="n"/>
      <c r="C819" s="40" t="n"/>
      <c r="D819" s="47" t="n"/>
      <c r="E819" s="47" t="n"/>
      <c r="F819" s="47" t="n"/>
    </row>
    <row r="820">
      <c r="A820" s="16">
        <f>IF($B820="","",COUNTA($B$4:$B820))</f>
        <v/>
      </c>
      <c r="B820" s="71" t="n"/>
      <c r="C820" s="38" t="n"/>
      <c r="D820" s="45" t="n"/>
      <c r="E820" s="45" t="n"/>
      <c r="F820" s="45" t="n"/>
    </row>
    <row r="821">
      <c r="A821" s="16">
        <f>IF($B821="","",COUNTA($B$4:$B821))</f>
        <v/>
      </c>
      <c r="B821" s="72" t="n"/>
      <c r="C821" s="40" t="n"/>
      <c r="D821" s="47" t="n"/>
      <c r="E821" s="47" t="n"/>
      <c r="F821" s="47" t="n"/>
    </row>
    <row r="822">
      <c r="A822" s="16">
        <f>IF($B822="","",COUNTA($B$4:$B822))</f>
        <v/>
      </c>
      <c r="B822" s="71" t="n"/>
      <c r="C822" s="38" t="n"/>
      <c r="D822" s="45" t="n"/>
      <c r="E822" s="45" t="n"/>
      <c r="F822" s="45" t="n"/>
    </row>
    <row r="823">
      <c r="A823" s="16">
        <f>IF($B823="","",COUNTA($B$4:$B823))</f>
        <v/>
      </c>
      <c r="B823" s="72" t="n"/>
      <c r="C823" s="40" t="n"/>
      <c r="D823" s="47" t="n"/>
      <c r="E823" s="47" t="n"/>
      <c r="F823" s="47" t="n"/>
    </row>
    <row r="824">
      <c r="A824" s="16">
        <f>IF($B824="","",COUNTA($B$4:$B824))</f>
        <v/>
      </c>
      <c r="B824" s="71" t="n"/>
      <c r="C824" s="38" t="n"/>
      <c r="D824" s="45" t="n"/>
      <c r="E824" s="45" t="n"/>
      <c r="F824" s="45" t="n"/>
    </row>
    <row r="825">
      <c r="A825" s="16">
        <f>IF($B825="","",COUNTA($B$4:$B825))</f>
        <v/>
      </c>
      <c r="B825" s="72" t="n"/>
      <c r="C825" s="40" t="n"/>
      <c r="D825" s="47" t="n"/>
      <c r="E825" s="47" t="n"/>
      <c r="F825" s="47" t="n"/>
    </row>
    <row r="826">
      <c r="A826" s="16">
        <f>IF($B826="","",COUNTA($B$4:$B826))</f>
        <v/>
      </c>
      <c r="B826" s="71" t="n"/>
      <c r="C826" s="38" t="n"/>
      <c r="D826" s="45" t="n"/>
      <c r="E826" s="45" t="n"/>
      <c r="F826" s="45" t="n"/>
    </row>
    <row r="827">
      <c r="A827" s="16">
        <f>IF($B827="","",COUNTA($B$4:$B827))</f>
        <v/>
      </c>
      <c r="B827" s="72" t="n"/>
      <c r="C827" s="40" t="n"/>
      <c r="D827" s="47" t="n"/>
      <c r="E827" s="47" t="n"/>
      <c r="F827" s="47" t="n"/>
    </row>
    <row r="828">
      <c r="A828" s="16">
        <f>IF($B828="","",COUNTA($B$4:$B828))</f>
        <v/>
      </c>
      <c r="B828" s="71" t="n"/>
      <c r="C828" s="38" t="n"/>
      <c r="D828" s="45" t="n"/>
      <c r="E828" s="45" t="n"/>
      <c r="F828" s="45" t="n"/>
    </row>
    <row r="829">
      <c r="A829" s="16">
        <f>IF($B829="","",COUNTA($B$4:$B829))</f>
        <v/>
      </c>
      <c r="B829" s="72" t="n"/>
      <c r="C829" s="40" t="n"/>
      <c r="D829" s="47" t="n"/>
      <c r="E829" s="47" t="n"/>
      <c r="F829" s="47" t="n"/>
    </row>
    <row r="830">
      <c r="A830" s="16">
        <f>IF($B830="","",COUNTA($B$4:$B830))</f>
        <v/>
      </c>
      <c r="B830" s="71" t="n"/>
      <c r="C830" s="38" t="n"/>
      <c r="D830" s="45" t="n"/>
      <c r="E830" s="45" t="n"/>
      <c r="F830" s="45" t="n"/>
    </row>
    <row r="831">
      <c r="A831" s="16">
        <f>IF($B831="","",COUNTA($B$4:$B831))</f>
        <v/>
      </c>
      <c r="B831" s="72" t="n"/>
      <c r="C831" s="40" t="n"/>
      <c r="D831" s="47" t="n"/>
      <c r="E831" s="47" t="n"/>
      <c r="F831" s="47" t="n"/>
    </row>
    <row r="832">
      <c r="A832" s="16">
        <f>IF($B832="","",COUNTA($B$4:$B832))</f>
        <v/>
      </c>
      <c r="B832" s="71" t="n"/>
      <c r="C832" s="38" t="n"/>
      <c r="D832" s="45" t="n"/>
      <c r="E832" s="45" t="n"/>
      <c r="F832" s="45" t="n"/>
    </row>
    <row r="833">
      <c r="A833" s="16">
        <f>IF($B833="","",COUNTA($B$4:$B833))</f>
        <v/>
      </c>
      <c r="B833" s="72" t="n"/>
      <c r="C833" s="40" t="n"/>
      <c r="D833" s="47" t="n"/>
      <c r="E833" s="47" t="n"/>
      <c r="F833" s="47" t="n"/>
    </row>
    <row r="834">
      <c r="A834" s="16">
        <f>IF($B834="","",COUNTA($B$4:$B834))</f>
        <v/>
      </c>
      <c r="B834" s="71" t="n"/>
      <c r="C834" s="38" t="n"/>
      <c r="D834" s="45" t="n"/>
      <c r="E834" s="45" t="n"/>
      <c r="F834" s="45" t="n"/>
    </row>
    <row r="835">
      <c r="A835" s="16">
        <f>IF($B835="","",COUNTA($B$4:$B835))</f>
        <v/>
      </c>
      <c r="B835" s="72" t="n"/>
      <c r="C835" s="40" t="n"/>
      <c r="D835" s="47" t="n"/>
      <c r="E835" s="47" t="n"/>
      <c r="F835" s="47" t="n"/>
    </row>
    <row r="836">
      <c r="A836" s="16">
        <f>IF($B836="","",COUNTA($B$4:$B836))</f>
        <v/>
      </c>
      <c r="B836" s="71" t="n"/>
      <c r="C836" s="38" t="n"/>
      <c r="D836" s="45" t="n"/>
      <c r="E836" s="45" t="n"/>
      <c r="F836" s="45" t="n"/>
    </row>
    <row r="837">
      <c r="A837" s="16">
        <f>IF($B837="","",COUNTA($B$4:$B837))</f>
        <v/>
      </c>
      <c r="B837" s="72" t="n"/>
      <c r="C837" s="40" t="n"/>
      <c r="D837" s="47" t="n"/>
      <c r="E837" s="47" t="n"/>
      <c r="F837" s="47" t="n"/>
    </row>
    <row r="838">
      <c r="A838" s="16">
        <f>IF($B838="","",COUNTA($B$4:$B838))</f>
        <v/>
      </c>
      <c r="B838" s="71" t="n"/>
      <c r="C838" s="38" t="n"/>
      <c r="D838" s="45" t="n"/>
      <c r="E838" s="45" t="n"/>
      <c r="F838" s="45" t="n"/>
    </row>
    <row r="839">
      <c r="A839" s="16">
        <f>IF($B839="","",COUNTA($B$4:$B839))</f>
        <v/>
      </c>
      <c r="B839" s="72" t="n"/>
      <c r="C839" s="40" t="n"/>
      <c r="D839" s="47" t="n"/>
      <c r="E839" s="47" t="n"/>
      <c r="F839" s="47" t="n"/>
    </row>
    <row r="840">
      <c r="A840" s="16">
        <f>IF($B840="","",COUNTA($B$4:$B840))</f>
        <v/>
      </c>
      <c r="B840" s="71" t="n"/>
      <c r="C840" s="38" t="n"/>
      <c r="D840" s="45" t="n"/>
      <c r="E840" s="45" t="n"/>
      <c r="F840" s="45" t="n"/>
    </row>
    <row r="841">
      <c r="A841" s="16">
        <f>IF($B841="","",COUNTA($B$4:$B841))</f>
        <v/>
      </c>
      <c r="B841" s="72" t="n"/>
      <c r="C841" s="40" t="n"/>
      <c r="D841" s="47" t="n"/>
      <c r="E841" s="47" t="n"/>
      <c r="F841" s="47" t="n"/>
    </row>
    <row r="842">
      <c r="A842" s="16">
        <f>IF($B842="","",COUNTA($B$4:$B842))</f>
        <v/>
      </c>
      <c r="B842" s="71" t="n"/>
      <c r="C842" s="38" t="n"/>
      <c r="D842" s="45" t="n"/>
      <c r="E842" s="45" t="n"/>
      <c r="F842" s="45" t="n"/>
    </row>
    <row r="843">
      <c r="A843" s="16">
        <f>IF($B843="","",COUNTA($B$4:$B843))</f>
        <v/>
      </c>
      <c r="B843" s="72" t="n"/>
      <c r="C843" s="40" t="n"/>
      <c r="D843" s="47" t="n"/>
      <c r="E843" s="47" t="n"/>
      <c r="F843" s="47" t="n"/>
    </row>
    <row r="844">
      <c r="A844" s="16">
        <f>IF($B844="","",COUNTA($B$4:$B844))</f>
        <v/>
      </c>
      <c r="B844" s="71" t="n"/>
      <c r="C844" s="38" t="n"/>
      <c r="D844" s="45" t="n"/>
      <c r="E844" s="45" t="n"/>
      <c r="F844" s="45" t="n"/>
    </row>
    <row r="845">
      <c r="A845" s="16">
        <f>IF($B845="","",COUNTA($B$4:$B845))</f>
        <v/>
      </c>
      <c r="B845" s="72" t="n"/>
      <c r="C845" s="40" t="n"/>
      <c r="D845" s="47" t="n"/>
      <c r="E845" s="47" t="n"/>
      <c r="F845" s="47" t="n"/>
    </row>
    <row r="846">
      <c r="A846" s="16">
        <f>IF($B846="","",COUNTA($B$4:$B846))</f>
        <v/>
      </c>
      <c r="B846" s="71" t="n"/>
      <c r="C846" s="38" t="n"/>
      <c r="D846" s="45" t="n"/>
      <c r="E846" s="45" t="n"/>
      <c r="F846" s="45" t="n"/>
    </row>
    <row r="847">
      <c r="A847" s="16">
        <f>IF($B847="","",COUNTA($B$4:$B847))</f>
        <v/>
      </c>
      <c r="B847" s="72" t="n"/>
      <c r="C847" s="40" t="n"/>
      <c r="D847" s="47" t="n"/>
      <c r="E847" s="47" t="n"/>
      <c r="F847" s="47" t="n"/>
    </row>
    <row r="848">
      <c r="A848" s="16">
        <f>IF($B848="","",COUNTA($B$4:$B848))</f>
        <v/>
      </c>
      <c r="B848" s="71" t="n"/>
      <c r="C848" s="38" t="n"/>
      <c r="D848" s="45" t="n"/>
      <c r="E848" s="45" t="n"/>
      <c r="F848" s="45" t="n"/>
    </row>
    <row r="849">
      <c r="A849" s="16">
        <f>IF($B849="","",COUNTA($B$4:$B849))</f>
        <v/>
      </c>
      <c r="B849" s="72" t="n"/>
      <c r="C849" s="40" t="n"/>
      <c r="D849" s="47" t="n"/>
      <c r="E849" s="47" t="n"/>
      <c r="F849" s="47" t="n"/>
    </row>
    <row r="850">
      <c r="A850" s="16">
        <f>IF($B850="","",COUNTA($B$4:$B850))</f>
        <v/>
      </c>
      <c r="B850" s="71" t="n"/>
      <c r="C850" s="38" t="n"/>
      <c r="D850" s="45" t="n"/>
      <c r="E850" s="45" t="n"/>
      <c r="F850" s="45" t="n"/>
    </row>
    <row r="851">
      <c r="A851" s="16">
        <f>IF($B851="","",COUNTA($B$4:$B851))</f>
        <v/>
      </c>
      <c r="B851" s="72" t="n"/>
      <c r="C851" s="40" t="n"/>
      <c r="D851" s="47" t="n"/>
      <c r="E851" s="47" t="n"/>
      <c r="F851" s="47" t="n"/>
    </row>
    <row r="852">
      <c r="A852" s="16">
        <f>IF($B852="","",COUNTA($B$4:$B852))</f>
        <v/>
      </c>
      <c r="B852" s="71" t="n"/>
      <c r="C852" s="38" t="n"/>
      <c r="D852" s="45" t="n"/>
      <c r="E852" s="45" t="n"/>
      <c r="F852" s="45" t="n"/>
    </row>
    <row r="853">
      <c r="A853" s="16">
        <f>IF($B853="","",COUNTA($B$4:$B853))</f>
        <v/>
      </c>
      <c r="B853" s="72" t="n"/>
      <c r="C853" s="40" t="n"/>
      <c r="D853" s="47" t="n"/>
      <c r="E853" s="47" t="n"/>
      <c r="F853" s="47" t="n"/>
    </row>
    <row r="854">
      <c r="A854" s="16">
        <f>IF($B854="","",COUNTA($B$4:$B854))</f>
        <v/>
      </c>
      <c r="B854" s="71" t="n"/>
      <c r="C854" s="38" t="n"/>
      <c r="D854" s="45" t="n"/>
      <c r="E854" s="45" t="n"/>
      <c r="F854" s="45" t="n"/>
    </row>
    <row r="855">
      <c r="A855" s="16">
        <f>IF($B855="","",COUNTA($B$4:$B855))</f>
        <v/>
      </c>
      <c r="B855" s="72" t="n"/>
      <c r="C855" s="40" t="n"/>
      <c r="D855" s="47" t="n"/>
      <c r="E855" s="47" t="n"/>
      <c r="F855" s="47" t="n"/>
    </row>
    <row r="856">
      <c r="A856" s="16">
        <f>IF($B856="","",COUNTA($B$4:$B856))</f>
        <v/>
      </c>
      <c r="B856" s="71" t="n"/>
      <c r="C856" s="38" t="n"/>
      <c r="D856" s="45" t="n"/>
      <c r="E856" s="45" t="n"/>
      <c r="F856" s="45" t="n"/>
    </row>
    <row r="857">
      <c r="A857" s="16">
        <f>IF($B857="","",COUNTA($B$4:$B857))</f>
        <v/>
      </c>
      <c r="B857" s="72" t="n"/>
      <c r="C857" s="40" t="n"/>
      <c r="D857" s="47" t="n"/>
      <c r="E857" s="47" t="n"/>
      <c r="F857" s="47" t="n"/>
    </row>
    <row r="858">
      <c r="A858" s="16">
        <f>IF($B858="","",COUNTA($B$4:$B858))</f>
        <v/>
      </c>
      <c r="B858" s="71" t="n"/>
      <c r="C858" s="38" t="n"/>
      <c r="D858" s="45" t="n"/>
      <c r="E858" s="45" t="n"/>
      <c r="F858" s="45" t="n"/>
    </row>
    <row r="859">
      <c r="A859" s="16">
        <f>IF($B859="","",COUNTA($B$4:$B859))</f>
        <v/>
      </c>
      <c r="B859" s="72" t="n"/>
      <c r="C859" s="40" t="n"/>
      <c r="D859" s="47" t="n"/>
      <c r="E859" s="47" t="n"/>
      <c r="F859" s="47" t="n"/>
    </row>
    <row r="860">
      <c r="A860" s="16">
        <f>IF($B860="","",COUNTA($B$4:$B860))</f>
        <v/>
      </c>
      <c r="B860" s="71" t="n"/>
      <c r="C860" s="38" t="n"/>
      <c r="D860" s="45" t="n"/>
      <c r="E860" s="45" t="n"/>
      <c r="F860" s="45" t="n"/>
    </row>
    <row r="861">
      <c r="A861" s="16">
        <f>IF($B861="","",COUNTA($B$4:$B861))</f>
        <v/>
      </c>
      <c r="B861" s="72" t="n"/>
      <c r="C861" s="40" t="n"/>
      <c r="D861" s="47" t="n"/>
      <c r="E861" s="47" t="n"/>
      <c r="F861" s="47" t="n"/>
    </row>
    <row r="862">
      <c r="A862" s="16">
        <f>IF($B862="","",COUNTA($B$4:$B862))</f>
        <v/>
      </c>
      <c r="B862" s="71" t="n"/>
      <c r="C862" s="38" t="n"/>
      <c r="D862" s="45" t="n"/>
      <c r="E862" s="45" t="n"/>
      <c r="F862" s="45" t="n"/>
    </row>
    <row r="863">
      <c r="A863" s="16">
        <f>IF($B863="","",COUNTA($B$4:$B863))</f>
        <v/>
      </c>
      <c r="B863" s="72" t="n"/>
      <c r="C863" s="40" t="n"/>
      <c r="D863" s="47" t="n"/>
      <c r="E863" s="47" t="n"/>
      <c r="F863" s="47" t="n"/>
    </row>
    <row r="864">
      <c r="A864" s="16">
        <f>IF($B864="","",COUNTA($B$4:$B864))</f>
        <v/>
      </c>
      <c r="B864" s="71" t="n"/>
      <c r="C864" s="38" t="n"/>
      <c r="D864" s="45" t="n"/>
      <c r="E864" s="45" t="n"/>
      <c r="F864" s="45" t="n"/>
    </row>
    <row r="865">
      <c r="A865" s="16">
        <f>IF($B865="","",COUNTA($B$4:$B865))</f>
        <v/>
      </c>
      <c r="B865" s="72" t="n"/>
      <c r="C865" s="40" t="n"/>
      <c r="D865" s="47" t="n"/>
      <c r="E865" s="47" t="n"/>
      <c r="F865" s="47" t="n"/>
    </row>
    <row r="866">
      <c r="A866" s="16">
        <f>IF($B866="","",COUNTA($B$4:$B866))</f>
        <v/>
      </c>
      <c r="B866" s="71" t="n"/>
      <c r="C866" s="38" t="n"/>
      <c r="D866" s="45" t="n"/>
      <c r="E866" s="45" t="n"/>
      <c r="F866" s="45" t="n"/>
    </row>
    <row r="867">
      <c r="A867" s="16">
        <f>IF($B867="","",COUNTA($B$4:$B867))</f>
        <v/>
      </c>
      <c r="B867" s="72" t="n"/>
      <c r="C867" s="40" t="n"/>
      <c r="D867" s="47" t="n"/>
      <c r="E867" s="47" t="n"/>
      <c r="F867" s="47" t="n"/>
    </row>
    <row r="868">
      <c r="A868" s="16">
        <f>IF($B868="","",COUNTA($B$4:$B868))</f>
        <v/>
      </c>
      <c r="B868" s="71" t="n"/>
      <c r="C868" s="38" t="n"/>
      <c r="D868" s="45" t="n"/>
      <c r="E868" s="45" t="n"/>
      <c r="F868" s="45" t="n"/>
    </row>
    <row r="869">
      <c r="A869" s="16">
        <f>IF($B869="","",COUNTA($B$4:$B869))</f>
        <v/>
      </c>
      <c r="B869" s="72" t="n"/>
      <c r="C869" s="40" t="n"/>
      <c r="D869" s="47" t="n"/>
      <c r="E869" s="47" t="n"/>
      <c r="F869" s="47" t="n"/>
    </row>
    <row r="870">
      <c r="A870" s="16">
        <f>IF($B870="","",COUNTA($B$4:$B870))</f>
        <v/>
      </c>
      <c r="B870" s="71" t="n"/>
      <c r="C870" s="38" t="n"/>
      <c r="D870" s="45" t="n"/>
      <c r="E870" s="45" t="n"/>
      <c r="F870" s="45" t="n"/>
    </row>
    <row r="871">
      <c r="A871" s="16">
        <f>IF($B871="","",COUNTA($B$4:$B871))</f>
        <v/>
      </c>
      <c r="B871" s="72" t="n"/>
      <c r="C871" s="40" t="n"/>
      <c r="D871" s="47" t="n"/>
      <c r="E871" s="47" t="n"/>
      <c r="F871" s="47" t="n"/>
    </row>
    <row r="872">
      <c r="A872" s="16">
        <f>IF($B872="","",COUNTA($B$4:$B872))</f>
        <v/>
      </c>
      <c r="B872" s="71" t="n"/>
      <c r="C872" s="38" t="n"/>
      <c r="D872" s="45" t="n"/>
      <c r="E872" s="45" t="n"/>
      <c r="F872" s="45" t="n"/>
    </row>
    <row r="873">
      <c r="A873" s="16">
        <f>IF($B873="","",COUNTA($B$4:$B873))</f>
        <v/>
      </c>
      <c r="B873" s="72" t="n"/>
      <c r="C873" s="40" t="n"/>
      <c r="D873" s="47" t="n"/>
      <c r="E873" s="47" t="n"/>
      <c r="F873" s="47" t="n"/>
    </row>
    <row r="874">
      <c r="A874" s="16">
        <f>IF($B874="","",COUNTA($B$4:$B874))</f>
        <v/>
      </c>
      <c r="B874" s="71" t="n"/>
      <c r="C874" s="38" t="n"/>
      <c r="D874" s="45" t="n"/>
      <c r="E874" s="45" t="n"/>
      <c r="F874" s="45" t="n"/>
    </row>
    <row r="875">
      <c r="A875" s="16">
        <f>IF($B875="","",COUNTA($B$4:$B875))</f>
        <v/>
      </c>
      <c r="B875" s="72" t="n"/>
      <c r="C875" s="40" t="n"/>
      <c r="D875" s="47" t="n"/>
      <c r="E875" s="47" t="n"/>
      <c r="F875" s="47" t="n"/>
    </row>
    <row r="876">
      <c r="A876" s="16">
        <f>IF($B876="","",COUNTA($B$4:$B876))</f>
        <v/>
      </c>
      <c r="B876" s="71" t="n"/>
      <c r="C876" s="38" t="n"/>
      <c r="D876" s="45" t="n"/>
      <c r="E876" s="45" t="n"/>
      <c r="F876" s="45" t="n"/>
    </row>
    <row r="877">
      <c r="A877" s="16">
        <f>IF($B877="","",COUNTA($B$4:$B877))</f>
        <v/>
      </c>
      <c r="B877" s="72" t="n"/>
      <c r="C877" s="40" t="n"/>
      <c r="D877" s="47" t="n"/>
      <c r="E877" s="47" t="n"/>
      <c r="F877" s="47" t="n"/>
    </row>
    <row r="878">
      <c r="A878" s="16">
        <f>IF($B878="","",COUNTA($B$4:$B878))</f>
        <v/>
      </c>
      <c r="B878" s="71" t="n"/>
      <c r="C878" s="38" t="n"/>
      <c r="D878" s="45" t="n"/>
      <c r="E878" s="45" t="n"/>
      <c r="F878" s="45" t="n"/>
    </row>
    <row r="879">
      <c r="A879" s="16">
        <f>IF($B879="","",COUNTA($B$4:$B879))</f>
        <v/>
      </c>
      <c r="B879" s="72" t="n"/>
      <c r="C879" s="40" t="n"/>
      <c r="D879" s="47" t="n"/>
      <c r="E879" s="47" t="n"/>
      <c r="F879" s="47" t="n"/>
    </row>
    <row r="880">
      <c r="A880" s="16">
        <f>IF($B880="","",COUNTA($B$4:$B880))</f>
        <v/>
      </c>
      <c r="B880" s="71" t="n"/>
      <c r="C880" s="38" t="n"/>
      <c r="D880" s="45" t="n"/>
      <c r="E880" s="45" t="n"/>
      <c r="F880" s="45" t="n"/>
    </row>
    <row r="881">
      <c r="A881" s="16">
        <f>IF($B881="","",COUNTA($B$4:$B881))</f>
        <v/>
      </c>
      <c r="B881" s="72" t="n"/>
      <c r="C881" s="40" t="n"/>
      <c r="D881" s="47" t="n"/>
      <c r="E881" s="47" t="n"/>
      <c r="F881" s="47" t="n"/>
    </row>
    <row r="882">
      <c r="A882" s="16">
        <f>IF($B882="","",COUNTA($B$4:$B882))</f>
        <v/>
      </c>
      <c r="B882" s="71" t="n"/>
      <c r="C882" s="38" t="n"/>
      <c r="D882" s="45" t="n"/>
      <c r="E882" s="45" t="n"/>
      <c r="F882" s="45" t="n"/>
    </row>
    <row r="883">
      <c r="A883" s="16">
        <f>IF($B883="","",COUNTA($B$4:$B883))</f>
        <v/>
      </c>
      <c r="B883" s="72" t="n"/>
      <c r="C883" s="40" t="n"/>
      <c r="D883" s="47" t="n"/>
      <c r="E883" s="47" t="n"/>
      <c r="F883" s="47" t="n"/>
    </row>
    <row r="884">
      <c r="A884" s="16">
        <f>IF($B884="","",COUNTA($B$4:$B884))</f>
        <v/>
      </c>
      <c r="B884" s="71" t="n"/>
      <c r="C884" s="38" t="n"/>
      <c r="D884" s="45" t="n"/>
      <c r="E884" s="45" t="n"/>
      <c r="F884" s="45" t="n"/>
    </row>
    <row r="885">
      <c r="A885" s="16">
        <f>IF($B885="","",COUNTA($B$4:$B885))</f>
        <v/>
      </c>
      <c r="B885" s="72" t="n"/>
      <c r="C885" s="40" t="n"/>
      <c r="D885" s="47" t="n"/>
      <c r="E885" s="47" t="n"/>
      <c r="F885" s="47" t="n"/>
    </row>
    <row r="886">
      <c r="A886" s="16">
        <f>IF($B886="","",COUNTA($B$4:$B886))</f>
        <v/>
      </c>
      <c r="B886" s="71" t="n"/>
      <c r="C886" s="38" t="n"/>
      <c r="D886" s="45" t="n"/>
      <c r="E886" s="45" t="n"/>
      <c r="F886" s="45" t="n"/>
    </row>
    <row r="887">
      <c r="A887" s="16">
        <f>IF($B887="","",COUNTA($B$4:$B887))</f>
        <v/>
      </c>
      <c r="B887" s="72" t="n"/>
      <c r="C887" s="40" t="n"/>
      <c r="D887" s="47" t="n"/>
      <c r="E887" s="47" t="n"/>
      <c r="F887" s="47" t="n"/>
    </row>
    <row r="888">
      <c r="A888" s="16">
        <f>IF($B888="","",COUNTA($B$4:$B888))</f>
        <v/>
      </c>
      <c r="B888" s="71" t="n"/>
      <c r="C888" s="38" t="n"/>
      <c r="D888" s="45" t="n"/>
      <c r="E888" s="45" t="n"/>
      <c r="F888" s="45" t="n"/>
    </row>
    <row r="889">
      <c r="A889" s="16">
        <f>IF($B889="","",COUNTA($B$4:$B889))</f>
        <v/>
      </c>
      <c r="B889" s="72" t="n"/>
      <c r="C889" s="40" t="n"/>
      <c r="D889" s="47" t="n"/>
      <c r="E889" s="47" t="n"/>
      <c r="F889" s="47" t="n"/>
    </row>
    <row r="890">
      <c r="A890" s="16">
        <f>IF($B890="","",COUNTA($B$4:$B890))</f>
        <v/>
      </c>
      <c r="B890" s="71" t="n"/>
      <c r="C890" s="38" t="n"/>
      <c r="D890" s="45" t="n"/>
      <c r="E890" s="45" t="n"/>
      <c r="F890" s="45" t="n"/>
    </row>
    <row r="891">
      <c r="A891" s="16">
        <f>IF($B891="","",COUNTA($B$4:$B891))</f>
        <v/>
      </c>
      <c r="B891" s="72" t="n"/>
      <c r="C891" s="40" t="n"/>
      <c r="D891" s="47" t="n"/>
      <c r="E891" s="47" t="n"/>
      <c r="F891" s="47" t="n"/>
    </row>
    <row r="892">
      <c r="A892" s="16">
        <f>IF($B892="","",COUNTA($B$4:$B892))</f>
        <v/>
      </c>
      <c r="B892" s="71" t="n"/>
      <c r="C892" s="38" t="n"/>
      <c r="D892" s="45" t="n"/>
      <c r="E892" s="45" t="n"/>
      <c r="F892" s="45" t="n"/>
    </row>
    <row r="893">
      <c r="A893" s="16">
        <f>IF($B893="","",COUNTA($B$4:$B893))</f>
        <v/>
      </c>
      <c r="B893" s="72" t="n"/>
      <c r="C893" s="40" t="n"/>
      <c r="D893" s="47" t="n"/>
      <c r="E893" s="47" t="n"/>
      <c r="F893" s="47" t="n"/>
    </row>
    <row r="894">
      <c r="A894" s="16">
        <f>IF($B894="","",COUNTA($B$4:$B894))</f>
        <v/>
      </c>
      <c r="B894" s="71" t="n"/>
      <c r="C894" s="38" t="n"/>
      <c r="D894" s="45" t="n"/>
      <c r="E894" s="45" t="n"/>
      <c r="F894" s="45" t="n"/>
    </row>
    <row r="895">
      <c r="A895" s="16">
        <f>IF($B895="","",COUNTA($B$4:$B895))</f>
        <v/>
      </c>
      <c r="B895" s="72" t="n"/>
      <c r="C895" s="40" t="n"/>
      <c r="D895" s="47" t="n"/>
      <c r="E895" s="47" t="n"/>
      <c r="F895" s="47" t="n"/>
    </row>
    <row r="896">
      <c r="A896" s="16">
        <f>IF($B896="","",COUNTA($B$4:$B896))</f>
        <v/>
      </c>
      <c r="B896" s="71" t="n"/>
      <c r="C896" s="38" t="n"/>
      <c r="D896" s="45" t="n"/>
      <c r="E896" s="45" t="n"/>
      <c r="F896" s="45" t="n"/>
    </row>
    <row r="897">
      <c r="A897" s="16">
        <f>IF($B897="","",COUNTA($B$4:$B897))</f>
        <v/>
      </c>
      <c r="B897" s="72" t="n"/>
      <c r="C897" s="40" t="n"/>
      <c r="D897" s="47" t="n"/>
      <c r="E897" s="47" t="n"/>
      <c r="F897" s="47" t="n"/>
    </row>
    <row r="898">
      <c r="A898" s="16">
        <f>IF($B898="","",COUNTA($B$4:$B898))</f>
        <v/>
      </c>
      <c r="B898" s="71" t="n"/>
      <c r="C898" s="38" t="n"/>
      <c r="D898" s="45" t="n"/>
      <c r="E898" s="45" t="n"/>
      <c r="F898" s="45" t="n"/>
    </row>
    <row r="899">
      <c r="A899" s="16">
        <f>IF($B899="","",COUNTA($B$4:$B899))</f>
        <v/>
      </c>
      <c r="B899" s="72" t="n"/>
      <c r="C899" s="40" t="n"/>
      <c r="D899" s="47" t="n"/>
      <c r="E899" s="47" t="n"/>
      <c r="F899" s="47" t="n"/>
    </row>
    <row r="900">
      <c r="A900" s="16">
        <f>IF($B900="","",COUNTA($B$4:$B900))</f>
        <v/>
      </c>
      <c r="B900" s="71" t="n"/>
      <c r="C900" s="38" t="n"/>
      <c r="D900" s="45" t="n"/>
      <c r="E900" s="45" t="n"/>
      <c r="F900" s="45" t="n"/>
    </row>
    <row r="901">
      <c r="A901" s="16">
        <f>IF($B901="","",COUNTA($B$4:$B901))</f>
        <v/>
      </c>
      <c r="B901" s="72" t="n"/>
      <c r="C901" s="40" t="n"/>
      <c r="D901" s="47" t="n"/>
      <c r="E901" s="47" t="n"/>
      <c r="F901" s="47" t="n"/>
    </row>
    <row r="902">
      <c r="A902" s="16">
        <f>IF($B902="","",COUNTA($B$4:$B902))</f>
        <v/>
      </c>
      <c r="B902" s="71" t="n"/>
      <c r="C902" s="38" t="n"/>
      <c r="D902" s="45" t="n"/>
      <c r="E902" s="45" t="n"/>
      <c r="F902" s="45" t="n"/>
    </row>
    <row r="903">
      <c r="A903" s="16">
        <f>IF($B903="","",COUNTA($B$4:$B903))</f>
        <v/>
      </c>
      <c r="B903" s="72" t="n"/>
      <c r="C903" s="40" t="n"/>
      <c r="D903" s="47" t="n"/>
      <c r="E903" s="47" t="n"/>
      <c r="F903" s="47" t="n"/>
    </row>
    <row r="904">
      <c r="A904" s="16">
        <f>IF($B904="","",COUNTA($B$4:$B904))</f>
        <v/>
      </c>
      <c r="B904" s="71" t="n"/>
      <c r="C904" s="38" t="n"/>
      <c r="D904" s="45" t="n"/>
      <c r="E904" s="45" t="n"/>
      <c r="F904" s="45" t="n"/>
    </row>
    <row r="905">
      <c r="A905" s="16">
        <f>IF($B905="","",COUNTA($B$4:$B905))</f>
        <v/>
      </c>
      <c r="B905" s="72" t="n"/>
      <c r="C905" s="40" t="n"/>
      <c r="D905" s="47" t="n"/>
      <c r="E905" s="47" t="n"/>
      <c r="F905" s="47" t="n"/>
    </row>
    <row r="906">
      <c r="A906" s="16">
        <f>IF($B906="","",COUNTA($B$4:$B906))</f>
        <v/>
      </c>
      <c r="B906" s="71" t="n"/>
      <c r="C906" s="38" t="n"/>
      <c r="D906" s="45" t="n"/>
      <c r="E906" s="45" t="n"/>
      <c r="F906" s="45" t="n"/>
    </row>
    <row r="907">
      <c r="A907" s="16">
        <f>IF($B907="","",COUNTA($B$4:$B907))</f>
        <v/>
      </c>
      <c r="B907" s="72" t="n"/>
      <c r="C907" s="40" t="n"/>
      <c r="D907" s="47" t="n"/>
      <c r="E907" s="47" t="n"/>
      <c r="F907" s="47" t="n"/>
    </row>
    <row r="908">
      <c r="A908" s="16">
        <f>IF($B908="","",COUNTA($B$4:$B908))</f>
        <v/>
      </c>
      <c r="B908" s="71" t="n"/>
      <c r="C908" s="38" t="n"/>
      <c r="D908" s="45" t="n"/>
      <c r="E908" s="45" t="n"/>
      <c r="F908" s="45" t="n"/>
    </row>
    <row r="909">
      <c r="A909" s="16">
        <f>IF($B909="","",COUNTA($B$4:$B909))</f>
        <v/>
      </c>
      <c r="B909" s="72" t="n"/>
      <c r="C909" s="40" t="n"/>
      <c r="D909" s="47" t="n"/>
      <c r="E909" s="47" t="n"/>
      <c r="F909" s="47" t="n"/>
    </row>
    <row r="910">
      <c r="A910" s="16">
        <f>IF($B910="","",COUNTA($B$4:$B910))</f>
        <v/>
      </c>
      <c r="B910" s="71" t="n"/>
      <c r="C910" s="38" t="n"/>
      <c r="D910" s="45" t="n"/>
      <c r="E910" s="45" t="n"/>
      <c r="F910" s="45" t="n"/>
    </row>
    <row r="911">
      <c r="A911" s="16">
        <f>IF($B911="","",COUNTA($B$4:$B911))</f>
        <v/>
      </c>
      <c r="B911" s="72" t="n"/>
      <c r="C911" s="40" t="n"/>
      <c r="D911" s="47" t="n"/>
      <c r="E911" s="47" t="n"/>
      <c r="F911" s="47" t="n"/>
    </row>
    <row r="912">
      <c r="A912" s="16">
        <f>IF($B912="","",COUNTA($B$4:$B912))</f>
        <v/>
      </c>
      <c r="B912" s="71" t="n"/>
      <c r="C912" s="38" t="n"/>
      <c r="D912" s="45" t="n"/>
      <c r="E912" s="45" t="n"/>
      <c r="F912" s="45" t="n"/>
    </row>
    <row r="913">
      <c r="A913" s="16">
        <f>IF($B913="","",COUNTA($B$4:$B913))</f>
        <v/>
      </c>
      <c r="B913" s="72" t="n"/>
      <c r="C913" s="40" t="n"/>
      <c r="D913" s="47" t="n"/>
      <c r="E913" s="47" t="n"/>
      <c r="F913" s="47" t="n"/>
    </row>
    <row r="914">
      <c r="A914" s="16">
        <f>IF($B914="","",COUNTA($B$4:$B914))</f>
        <v/>
      </c>
      <c r="B914" s="71" t="n"/>
      <c r="C914" s="38" t="n"/>
      <c r="D914" s="45" t="n"/>
      <c r="E914" s="45" t="n"/>
      <c r="F914" s="45" t="n"/>
    </row>
    <row r="915">
      <c r="A915" s="16">
        <f>IF($B915="","",COUNTA($B$4:$B915))</f>
        <v/>
      </c>
      <c r="B915" s="72" t="n"/>
      <c r="C915" s="40" t="n"/>
      <c r="D915" s="47" t="n"/>
      <c r="E915" s="47" t="n"/>
      <c r="F915" s="47" t="n"/>
    </row>
    <row r="916">
      <c r="A916" s="16">
        <f>IF($B916="","",COUNTA($B$4:$B916))</f>
        <v/>
      </c>
      <c r="B916" s="71" t="n"/>
      <c r="C916" s="38" t="n"/>
      <c r="D916" s="45" t="n"/>
      <c r="E916" s="45" t="n"/>
      <c r="F916" s="45" t="n"/>
    </row>
    <row r="917">
      <c r="A917" s="16">
        <f>IF($B917="","",COUNTA($B$4:$B917))</f>
        <v/>
      </c>
      <c r="B917" s="72" t="n"/>
      <c r="C917" s="40" t="n"/>
      <c r="D917" s="47" t="n"/>
      <c r="E917" s="47" t="n"/>
      <c r="F917" s="47" t="n"/>
    </row>
    <row r="918">
      <c r="A918" s="16">
        <f>IF($B918="","",COUNTA($B$4:$B918))</f>
        <v/>
      </c>
      <c r="B918" s="71" t="n"/>
      <c r="C918" s="38" t="n"/>
      <c r="D918" s="45" t="n"/>
      <c r="E918" s="45" t="n"/>
      <c r="F918" s="45" t="n"/>
    </row>
    <row r="919">
      <c r="A919" s="16">
        <f>IF($B919="","",COUNTA($B$4:$B919))</f>
        <v/>
      </c>
      <c r="B919" s="72" t="n"/>
      <c r="C919" s="40" t="n"/>
      <c r="D919" s="47" t="n"/>
      <c r="E919" s="47" t="n"/>
      <c r="F919" s="47" t="n"/>
    </row>
    <row r="920">
      <c r="A920" s="16">
        <f>IF($B920="","",COUNTA($B$4:$B920))</f>
        <v/>
      </c>
      <c r="B920" s="71" t="n"/>
      <c r="C920" s="38" t="n"/>
      <c r="D920" s="45" t="n"/>
      <c r="E920" s="45" t="n"/>
      <c r="F920" s="45" t="n"/>
    </row>
    <row r="921">
      <c r="A921" s="16">
        <f>IF($B921="","",COUNTA($B$4:$B921))</f>
        <v/>
      </c>
      <c r="B921" s="72" t="n"/>
      <c r="C921" s="40" t="n"/>
      <c r="D921" s="47" t="n"/>
      <c r="E921" s="47" t="n"/>
      <c r="F921" s="47" t="n"/>
    </row>
    <row r="922">
      <c r="A922" s="16">
        <f>IF($B922="","",COUNTA($B$4:$B922))</f>
        <v/>
      </c>
      <c r="B922" s="71" t="n"/>
      <c r="C922" s="38" t="n"/>
      <c r="D922" s="45" t="n"/>
      <c r="E922" s="45" t="n"/>
      <c r="F922" s="45" t="n"/>
    </row>
    <row r="923">
      <c r="A923" s="16">
        <f>IF($B923="","",COUNTA($B$4:$B923))</f>
        <v/>
      </c>
      <c r="B923" s="72" t="n"/>
      <c r="C923" s="40" t="n"/>
      <c r="D923" s="47" t="n"/>
      <c r="E923" s="47" t="n"/>
      <c r="F923" s="47" t="n"/>
    </row>
    <row r="924">
      <c r="A924" s="16">
        <f>IF($B924="","",COUNTA($B$4:$B924))</f>
        <v/>
      </c>
      <c r="B924" s="71" t="n"/>
      <c r="C924" s="38" t="n"/>
      <c r="D924" s="45" t="n"/>
      <c r="E924" s="45" t="n"/>
      <c r="F924" s="45" t="n"/>
    </row>
    <row r="925">
      <c r="A925" s="16">
        <f>IF($B925="","",COUNTA($B$4:$B925))</f>
        <v/>
      </c>
      <c r="B925" s="72" t="n"/>
      <c r="C925" s="40" t="n"/>
      <c r="D925" s="47" t="n"/>
      <c r="E925" s="47" t="n"/>
      <c r="F925" s="47" t="n"/>
    </row>
    <row r="926">
      <c r="A926" s="16">
        <f>IF($B926="","",COUNTA($B$4:$B926))</f>
        <v/>
      </c>
      <c r="B926" s="71" t="n"/>
      <c r="C926" s="38" t="n"/>
      <c r="D926" s="45" t="n"/>
      <c r="E926" s="45" t="n"/>
      <c r="F926" s="45" t="n"/>
    </row>
    <row r="927">
      <c r="A927" s="16">
        <f>IF($B927="","",COUNTA($B$4:$B927))</f>
        <v/>
      </c>
      <c r="B927" s="72" t="n"/>
      <c r="C927" s="40" t="n"/>
      <c r="D927" s="47" t="n"/>
      <c r="E927" s="47" t="n"/>
      <c r="F927" s="47" t="n"/>
    </row>
    <row r="928">
      <c r="A928" s="16">
        <f>IF($B928="","",COUNTA($B$4:$B928))</f>
        <v/>
      </c>
      <c r="B928" s="71" t="n"/>
      <c r="C928" s="38" t="n"/>
      <c r="D928" s="45" t="n"/>
      <c r="E928" s="45" t="n"/>
      <c r="F928" s="45" t="n"/>
    </row>
    <row r="929">
      <c r="A929" s="16">
        <f>IF($B929="","",COUNTA($B$4:$B929))</f>
        <v/>
      </c>
      <c r="B929" s="72" t="n"/>
      <c r="C929" s="40" t="n"/>
      <c r="D929" s="47" t="n"/>
      <c r="E929" s="47" t="n"/>
      <c r="F929" s="47" t="n"/>
    </row>
    <row r="930">
      <c r="A930" s="16">
        <f>IF($B930="","",COUNTA($B$4:$B930))</f>
        <v/>
      </c>
      <c r="B930" s="71" t="n"/>
      <c r="C930" s="38" t="n"/>
      <c r="D930" s="45" t="n"/>
      <c r="E930" s="45" t="n"/>
      <c r="F930" s="45" t="n"/>
    </row>
    <row r="931">
      <c r="A931" s="16">
        <f>IF($B931="","",COUNTA($B$4:$B931))</f>
        <v/>
      </c>
      <c r="B931" s="72" t="n"/>
      <c r="C931" s="40" t="n"/>
      <c r="D931" s="47" t="n"/>
      <c r="E931" s="47" t="n"/>
      <c r="F931" s="47" t="n"/>
    </row>
    <row r="932">
      <c r="A932" s="16">
        <f>IF($B932="","",COUNTA($B$4:$B932))</f>
        <v/>
      </c>
      <c r="B932" s="71" t="n"/>
      <c r="C932" s="38" t="n"/>
      <c r="D932" s="45" t="n"/>
      <c r="E932" s="45" t="n"/>
      <c r="F932" s="45" t="n"/>
    </row>
    <row r="933">
      <c r="A933" s="16">
        <f>IF($B933="","",COUNTA($B$4:$B933))</f>
        <v/>
      </c>
      <c r="B933" s="72" t="n"/>
      <c r="C933" s="40" t="n"/>
      <c r="D933" s="47" t="n"/>
      <c r="E933" s="47" t="n"/>
      <c r="F933" s="47" t="n"/>
    </row>
    <row r="934">
      <c r="A934" s="16">
        <f>IF($B934="","",COUNTA($B$4:$B934))</f>
        <v/>
      </c>
      <c r="B934" s="71" t="n"/>
      <c r="C934" s="38" t="n"/>
      <c r="D934" s="45" t="n"/>
      <c r="E934" s="45" t="n"/>
      <c r="F934" s="45" t="n"/>
    </row>
    <row r="935">
      <c r="A935" s="16">
        <f>IF($B935="","",COUNTA($B$4:$B935))</f>
        <v/>
      </c>
      <c r="B935" s="72" t="n"/>
      <c r="C935" s="40" t="n"/>
      <c r="D935" s="47" t="n"/>
      <c r="E935" s="47" t="n"/>
      <c r="F935" s="47" t="n"/>
    </row>
    <row r="936">
      <c r="A936" s="16">
        <f>IF($B936="","",COUNTA($B$4:$B936))</f>
        <v/>
      </c>
      <c r="B936" s="71" t="n"/>
      <c r="C936" s="38" t="n"/>
      <c r="D936" s="45" t="n"/>
      <c r="E936" s="45" t="n"/>
      <c r="F936" s="45" t="n"/>
    </row>
    <row r="937">
      <c r="A937" s="16">
        <f>IF($B937="","",COUNTA($B$4:$B937))</f>
        <v/>
      </c>
      <c r="B937" s="72" t="n"/>
      <c r="C937" s="40" t="n"/>
      <c r="D937" s="47" t="n"/>
      <c r="E937" s="47" t="n"/>
      <c r="F937" s="47" t="n"/>
    </row>
    <row r="938">
      <c r="A938" s="16">
        <f>IF($B938="","",COUNTA($B$4:$B938))</f>
        <v/>
      </c>
      <c r="B938" s="71" t="n"/>
      <c r="C938" s="38" t="n"/>
      <c r="D938" s="45" t="n"/>
      <c r="E938" s="45" t="n"/>
      <c r="F938" s="45" t="n"/>
    </row>
    <row r="939">
      <c r="A939" s="16">
        <f>IF($B939="","",COUNTA($B$4:$B939))</f>
        <v/>
      </c>
      <c r="B939" s="72" t="n"/>
      <c r="C939" s="40" t="n"/>
      <c r="D939" s="47" t="n"/>
      <c r="E939" s="47" t="n"/>
      <c r="F939" s="47" t="n"/>
    </row>
    <row r="940">
      <c r="A940" s="16">
        <f>IF($B940="","",COUNTA($B$4:$B940))</f>
        <v/>
      </c>
      <c r="B940" s="71" t="n"/>
      <c r="C940" s="38" t="n"/>
      <c r="D940" s="45" t="n"/>
      <c r="E940" s="45" t="n"/>
      <c r="F940" s="45" t="n"/>
    </row>
    <row r="941">
      <c r="A941" s="16">
        <f>IF($B941="","",COUNTA($B$4:$B941))</f>
        <v/>
      </c>
      <c r="B941" s="72" t="n"/>
      <c r="C941" s="40" t="n"/>
      <c r="D941" s="47" t="n"/>
      <c r="E941" s="47" t="n"/>
      <c r="F941" s="47" t="n"/>
    </row>
    <row r="942">
      <c r="A942" s="16">
        <f>IF($B942="","",COUNTA($B$4:$B942))</f>
        <v/>
      </c>
      <c r="B942" s="71" t="n"/>
      <c r="C942" s="38" t="n"/>
      <c r="D942" s="45" t="n"/>
      <c r="E942" s="45" t="n"/>
      <c r="F942" s="45" t="n"/>
    </row>
    <row r="943">
      <c r="A943" s="16">
        <f>IF($B943="","",COUNTA($B$4:$B943))</f>
        <v/>
      </c>
      <c r="B943" s="72" t="n"/>
      <c r="C943" s="40" t="n"/>
      <c r="D943" s="47" t="n"/>
      <c r="E943" s="47" t="n"/>
      <c r="F943" s="47" t="n"/>
    </row>
    <row r="944">
      <c r="A944" s="16">
        <f>IF($B944="","",COUNTA($B$4:$B944))</f>
        <v/>
      </c>
      <c r="B944" s="71" t="n"/>
      <c r="C944" s="38" t="n"/>
      <c r="D944" s="45" t="n"/>
      <c r="E944" s="45" t="n"/>
      <c r="F944" s="45" t="n"/>
    </row>
    <row r="945">
      <c r="A945" s="16">
        <f>IF($B945="","",COUNTA($B$4:$B945))</f>
        <v/>
      </c>
      <c r="B945" s="72" t="n"/>
      <c r="C945" s="40" t="n"/>
      <c r="D945" s="47" t="n"/>
      <c r="E945" s="47" t="n"/>
      <c r="F945" s="47" t="n"/>
    </row>
    <row r="946">
      <c r="A946" s="16">
        <f>IF($B946="","",COUNTA($B$4:$B946))</f>
        <v/>
      </c>
      <c r="B946" s="71" t="n"/>
      <c r="C946" s="38" t="n"/>
      <c r="D946" s="45" t="n"/>
      <c r="E946" s="45" t="n"/>
      <c r="F946" s="45" t="n"/>
    </row>
    <row r="947">
      <c r="A947" s="16">
        <f>IF($B947="","",COUNTA($B$4:$B947))</f>
        <v/>
      </c>
      <c r="B947" s="72" t="n"/>
      <c r="C947" s="40" t="n"/>
      <c r="D947" s="47" t="n"/>
      <c r="E947" s="47" t="n"/>
      <c r="F947" s="47" t="n"/>
    </row>
    <row r="948">
      <c r="A948" s="16">
        <f>IF($B948="","",COUNTA($B$4:$B948))</f>
        <v/>
      </c>
      <c r="B948" s="71" t="n"/>
      <c r="C948" s="38" t="n"/>
      <c r="D948" s="45" t="n"/>
      <c r="E948" s="45" t="n"/>
      <c r="F948" s="45" t="n"/>
    </row>
    <row r="949">
      <c r="A949" s="16">
        <f>IF($B949="","",COUNTA($B$4:$B949))</f>
        <v/>
      </c>
      <c r="B949" s="72" t="n"/>
      <c r="C949" s="40" t="n"/>
      <c r="D949" s="47" t="n"/>
      <c r="E949" s="47" t="n"/>
      <c r="F949" s="47" t="n"/>
    </row>
    <row r="950">
      <c r="A950" s="16">
        <f>IF($B950="","",COUNTA($B$4:$B950))</f>
        <v/>
      </c>
      <c r="B950" s="71" t="n"/>
      <c r="C950" s="38" t="n"/>
      <c r="D950" s="45" t="n"/>
      <c r="E950" s="45" t="n"/>
      <c r="F950" s="45" t="n"/>
    </row>
    <row r="951">
      <c r="A951" s="16">
        <f>IF($B951="","",COUNTA($B$4:$B951))</f>
        <v/>
      </c>
      <c r="B951" s="72" t="n"/>
      <c r="C951" s="40" t="n"/>
      <c r="D951" s="47" t="n"/>
      <c r="E951" s="47" t="n"/>
      <c r="F951" s="47" t="n"/>
    </row>
    <row r="952">
      <c r="A952" s="16">
        <f>IF($B952="","",COUNTA($B$4:$B952))</f>
        <v/>
      </c>
      <c r="B952" s="71" t="n"/>
      <c r="C952" s="38" t="n"/>
      <c r="D952" s="45" t="n"/>
      <c r="E952" s="45" t="n"/>
      <c r="F952" s="45" t="n"/>
    </row>
    <row r="953">
      <c r="A953" s="16">
        <f>IF($B953="","",COUNTA($B$4:$B953))</f>
        <v/>
      </c>
      <c r="B953" s="72" t="n"/>
      <c r="C953" s="40" t="n"/>
      <c r="D953" s="47" t="n"/>
      <c r="E953" s="47" t="n"/>
      <c r="F953" s="47" t="n"/>
    </row>
    <row r="954">
      <c r="A954" s="16">
        <f>IF($B954="","",COUNTA($B$4:$B954))</f>
        <v/>
      </c>
      <c r="B954" s="71" t="n"/>
      <c r="C954" s="38" t="n"/>
      <c r="D954" s="45" t="n"/>
      <c r="E954" s="45" t="n"/>
      <c r="F954" s="45" t="n"/>
    </row>
    <row r="955">
      <c r="A955" s="16">
        <f>IF($B955="","",COUNTA($B$4:$B955))</f>
        <v/>
      </c>
      <c r="B955" s="72" t="n"/>
      <c r="C955" s="40" t="n"/>
      <c r="D955" s="47" t="n"/>
      <c r="E955" s="47" t="n"/>
      <c r="F955" s="47" t="n"/>
    </row>
    <row r="956">
      <c r="A956" s="16">
        <f>IF($B956="","",COUNTA($B$4:$B956))</f>
        <v/>
      </c>
      <c r="B956" s="71" t="n"/>
      <c r="C956" s="38" t="n"/>
      <c r="D956" s="45" t="n"/>
      <c r="E956" s="45" t="n"/>
      <c r="F956" s="45" t="n"/>
    </row>
    <row r="957">
      <c r="A957" s="16">
        <f>IF($B957="","",COUNTA($B$4:$B957))</f>
        <v/>
      </c>
      <c r="B957" s="72" t="n"/>
      <c r="C957" s="40" t="n"/>
      <c r="D957" s="47" t="n"/>
      <c r="E957" s="47" t="n"/>
      <c r="F957" s="47" t="n"/>
    </row>
    <row r="958">
      <c r="A958" s="16">
        <f>IF($B958="","",COUNTA($B$4:$B958))</f>
        <v/>
      </c>
      <c r="B958" s="71" t="n"/>
      <c r="C958" s="38" t="n"/>
      <c r="D958" s="45" t="n"/>
      <c r="E958" s="45" t="n"/>
      <c r="F958" s="45" t="n"/>
    </row>
    <row r="959">
      <c r="A959" s="16">
        <f>IF($B959="","",COUNTA($B$4:$B959))</f>
        <v/>
      </c>
      <c r="B959" s="72" t="n"/>
      <c r="C959" s="40" t="n"/>
      <c r="D959" s="47" t="n"/>
      <c r="E959" s="47" t="n"/>
      <c r="F959" s="47" t="n"/>
    </row>
    <row r="960">
      <c r="A960" s="16">
        <f>IF($B960="","",COUNTA($B$4:$B960))</f>
        <v/>
      </c>
      <c r="B960" s="71" t="n"/>
      <c r="C960" s="38" t="n"/>
      <c r="D960" s="45" t="n"/>
      <c r="E960" s="45" t="n"/>
      <c r="F960" s="45" t="n"/>
    </row>
    <row r="961">
      <c r="A961" s="16">
        <f>IF($B961="","",COUNTA($B$4:$B961))</f>
        <v/>
      </c>
      <c r="B961" s="72" t="n"/>
      <c r="C961" s="40" t="n"/>
      <c r="D961" s="47" t="n"/>
      <c r="E961" s="47" t="n"/>
      <c r="F961" s="47" t="n"/>
    </row>
    <row r="962">
      <c r="A962" s="16">
        <f>IF($B962="","",COUNTA($B$4:$B962))</f>
        <v/>
      </c>
      <c r="B962" s="71" t="n"/>
      <c r="C962" s="38" t="n"/>
      <c r="D962" s="45" t="n"/>
      <c r="E962" s="45" t="n"/>
      <c r="F962" s="45" t="n"/>
    </row>
    <row r="963">
      <c r="A963" s="16">
        <f>IF($B963="","",COUNTA($B$4:$B963))</f>
        <v/>
      </c>
      <c r="B963" s="72" t="n"/>
      <c r="C963" s="40" t="n"/>
      <c r="D963" s="47" t="n"/>
      <c r="E963" s="47" t="n"/>
      <c r="F963" s="47" t="n"/>
    </row>
    <row r="964">
      <c r="A964" s="16">
        <f>IF($B964="","",COUNTA($B$4:$B964))</f>
        <v/>
      </c>
      <c r="B964" s="71" t="n"/>
      <c r="C964" s="38" t="n"/>
      <c r="D964" s="45" t="n"/>
      <c r="E964" s="45" t="n"/>
      <c r="F964" s="45" t="n"/>
    </row>
    <row r="965">
      <c r="A965" s="16">
        <f>IF($B965="","",COUNTA($B$4:$B965))</f>
        <v/>
      </c>
      <c r="B965" s="72" t="n"/>
      <c r="C965" s="40" t="n"/>
      <c r="D965" s="47" t="n"/>
      <c r="E965" s="47" t="n"/>
      <c r="F965" s="47" t="n"/>
    </row>
    <row r="966">
      <c r="A966" s="16">
        <f>IF($B966="","",COUNTA($B$4:$B966))</f>
        <v/>
      </c>
      <c r="B966" s="71" t="n"/>
      <c r="C966" s="38" t="n"/>
      <c r="D966" s="45" t="n"/>
      <c r="E966" s="45" t="n"/>
      <c r="F966" s="45" t="n"/>
    </row>
    <row r="967">
      <c r="A967" s="16">
        <f>IF($B967="","",COUNTA($B$4:$B967))</f>
        <v/>
      </c>
      <c r="B967" s="72" t="n"/>
      <c r="C967" s="40" t="n"/>
      <c r="D967" s="47" t="n"/>
      <c r="E967" s="47" t="n"/>
      <c r="F967" s="47" t="n"/>
    </row>
    <row r="968">
      <c r="A968" s="16">
        <f>IF($B968="","",COUNTA($B$4:$B968))</f>
        <v/>
      </c>
      <c r="B968" s="71" t="n"/>
      <c r="C968" s="38" t="n"/>
      <c r="D968" s="45" t="n"/>
      <c r="E968" s="45" t="n"/>
      <c r="F968" s="45" t="n"/>
    </row>
    <row r="969">
      <c r="A969" s="16">
        <f>IF($B969="","",COUNTA($B$4:$B969))</f>
        <v/>
      </c>
      <c r="B969" s="72" t="n"/>
      <c r="C969" s="40" t="n"/>
      <c r="D969" s="47" t="n"/>
      <c r="E969" s="47" t="n"/>
      <c r="F969" s="47" t="n"/>
    </row>
    <row r="970">
      <c r="A970" s="16">
        <f>IF($B970="","",COUNTA($B$4:$B970))</f>
        <v/>
      </c>
      <c r="B970" s="71" t="n"/>
      <c r="C970" s="38" t="n"/>
      <c r="D970" s="45" t="n"/>
      <c r="E970" s="45" t="n"/>
      <c r="F970" s="45" t="n"/>
    </row>
    <row r="971">
      <c r="A971" s="16">
        <f>IF($B971="","",COUNTA($B$4:$B971))</f>
        <v/>
      </c>
      <c r="B971" s="72" t="n"/>
      <c r="C971" s="40" t="n"/>
      <c r="D971" s="47" t="n"/>
      <c r="E971" s="47" t="n"/>
      <c r="F971" s="47" t="n"/>
    </row>
    <row r="972">
      <c r="A972" s="16">
        <f>IF($B972="","",COUNTA($B$4:$B972))</f>
        <v/>
      </c>
      <c r="B972" s="71" t="n"/>
      <c r="C972" s="38" t="n"/>
      <c r="D972" s="45" t="n"/>
      <c r="E972" s="45" t="n"/>
      <c r="F972" s="45" t="n"/>
    </row>
    <row r="973">
      <c r="A973" s="16">
        <f>IF($B973="","",COUNTA($B$4:$B973))</f>
        <v/>
      </c>
      <c r="B973" s="72" t="n"/>
      <c r="C973" s="40" t="n"/>
      <c r="D973" s="47" t="n"/>
      <c r="E973" s="47" t="n"/>
      <c r="F973" s="47" t="n"/>
    </row>
    <row r="974">
      <c r="A974" s="16">
        <f>IF($B974="","",COUNTA($B$4:$B974))</f>
        <v/>
      </c>
      <c r="B974" s="71" t="n"/>
      <c r="C974" s="38" t="n"/>
      <c r="D974" s="45" t="n"/>
      <c r="E974" s="45" t="n"/>
      <c r="F974" s="45" t="n"/>
    </row>
    <row r="975">
      <c r="A975" s="16">
        <f>IF($B975="","",COUNTA($B$4:$B975))</f>
        <v/>
      </c>
      <c r="B975" s="72" t="n"/>
      <c r="C975" s="40" t="n"/>
      <c r="D975" s="47" t="n"/>
      <c r="E975" s="47" t="n"/>
      <c r="F975" s="47" t="n"/>
    </row>
    <row r="976">
      <c r="A976" s="16">
        <f>IF($B976="","",COUNTA($B$4:$B976))</f>
        <v/>
      </c>
      <c r="B976" s="71" t="n"/>
      <c r="C976" s="38" t="n"/>
      <c r="D976" s="45" t="n"/>
      <c r="E976" s="45" t="n"/>
      <c r="F976" s="45" t="n"/>
    </row>
    <row r="977">
      <c r="A977" s="16">
        <f>IF($B977="","",COUNTA($B$4:$B977))</f>
        <v/>
      </c>
      <c r="B977" s="72" t="n"/>
      <c r="C977" s="40" t="n"/>
      <c r="D977" s="47" t="n"/>
      <c r="E977" s="47" t="n"/>
      <c r="F977" s="47" t="n"/>
    </row>
    <row r="978">
      <c r="A978" s="16">
        <f>IF($B978="","",COUNTA($B$4:$B978))</f>
        <v/>
      </c>
      <c r="B978" s="71" t="n"/>
      <c r="C978" s="38" t="n"/>
      <c r="D978" s="45" t="n"/>
      <c r="E978" s="45" t="n"/>
      <c r="F978" s="45" t="n"/>
    </row>
    <row r="979">
      <c r="A979" s="16">
        <f>IF($B979="","",COUNTA($B$4:$B979))</f>
        <v/>
      </c>
      <c r="B979" s="72" t="n"/>
      <c r="C979" s="40" t="n"/>
      <c r="D979" s="47" t="n"/>
      <c r="E979" s="47" t="n"/>
      <c r="F979" s="47" t="n"/>
    </row>
    <row r="980">
      <c r="A980" s="16">
        <f>IF($B980="","",COUNTA($B$4:$B980))</f>
        <v/>
      </c>
      <c r="B980" s="71" t="n"/>
      <c r="C980" s="38" t="n"/>
      <c r="D980" s="45" t="n"/>
      <c r="E980" s="45" t="n"/>
      <c r="F980" s="45" t="n"/>
    </row>
    <row r="981">
      <c r="A981" s="16">
        <f>IF($B981="","",COUNTA($B$4:$B981))</f>
        <v/>
      </c>
      <c r="B981" s="72" t="n"/>
      <c r="C981" s="40" t="n"/>
      <c r="D981" s="47" t="n"/>
      <c r="E981" s="47" t="n"/>
      <c r="F981" s="47" t="n"/>
    </row>
    <row r="982">
      <c r="A982" s="16">
        <f>IF($B982="","",COUNTA($B$4:$B982))</f>
        <v/>
      </c>
      <c r="B982" s="71" t="n"/>
      <c r="C982" s="38" t="n"/>
      <c r="D982" s="45" t="n"/>
      <c r="E982" s="45" t="n"/>
      <c r="F982" s="45" t="n"/>
    </row>
    <row r="983">
      <c r="A983" s="16">
        <f>IF($B983="","",COUNTA($B$4:$B983))</f>
        <v/>
      </c>
      <c r="B983" s="72" t="n"/>
      <c r="C983" s="40" t="n"/>
      <c r="D983" s="47" t="n"/>
      <c r="E983" s="47" t="n"/>
      <c r="F983" s="47" t="n"/>
    </row>
    <row r="984">
      <c r="A984" s="16">
        <f>IF($B984="","",COUNTA($B$4:$B984))</f>
        <v/>
      </c>
      <c r="B984" s="71" t="n"/>
      <c r="C984" s="38" t="n"/>
      <c r="D984" s="45" t="n"/>
      <c r="E984" s="45" t="n"/>
      <c r="F984" s="45" t="n"/>
    </row>
    <row r="985">
      <c r="A985" s="16">
        <f>IF($B985="","",COUNTA($B$4:$B985))</f>
        <v/>
      </c>
      <c r="B985" s="72" t="n"/>
      <c r="C985" s="40" t="n"/>
      <c r="D985" s="47" t="n"/>
      <c r="E985" s="47" t="n"/>
      <c r="F985" s="47" t="n"/>
    </row>
    <row r="986">
      <c r="A986" s="16">
        <f>IF($B986="","",COUNTA($B$4:$B986))</f>
        <v/>
      </c>
      <c r="B986" s="71" t="n"/>
      <c r="C986" s="38" t="n"/>
      <c r="D986" s="45" t="n"/>
      <c r="E986" s="45" t="n"/>
      <c r="F986" s="45" t="n"/>
    </row>
    <row r="987">
      <c r="A987" s="16">
        <f>IF($B987="","",COUNTA($B$4:$B987))</f>
        <v/>
      </c>
      <c r="B987" s="72" t="n"/>
      <c r="C987" s="40" t="n"/>
      <c r="D987" s="47" t="n"/>
      <c r="E987" s="47" t="n"/>
      <c r="F987" s="47" t="n"/>
    </row>
    <row r="988">
      <c r="A988" s="16">
        <f>IF($B988="","",COUNTA($B$4:$B988))</f>
        <v/>
      </c>
      <c r="B988" s="71" t="n"/>
      <c r="C988" s="38" t="n"/>
      <c r="D988" s="45" t="n"/>
      <c r="E988" s="45" t="n"/>
      <c r="F988" s="45" t="n"/>
    </row>
    <row r="989">
      <c r="A989" s="16">
        <f>IF($B989="","",COUNTA($B$4:$B989))</f>
        <v/>
      </c>
      <c r="B989" s="72" t="n"/>
      <c r="C989" s="40" t="n"/>
      <c r="D989" s="47" t="n"/>
      <c r="E989" s="47" t="n"/>
      <c r="F989" s="47" t="n"/>
    </row>
    <row r="990">
      <c r="A990" s="16">
        <f>IF($B990="","",COUNTA($B$4:$B990))</f>
        <v/>
      </c>
      <c r="B990" s="71" t="n"/>
      <c r="C990" s="38" t="n"/>
      <c r="D990" s="45" t="n"/>
      <c r="E990" s="45" t="n"/>
      <c r="F990" s="45" t="n"/>
    </row>
    <row r="991">
      <c r="A991" s="16">
        <f>IF($B991="","",COUNTA($B$4:$B991))</f>
        <v/>
      </c>
      <c r="B991" s="72" t="n"/>
      <c r="C991" s="40" t="n"/>
      <c r="D991" s="47" t="n"/>
      <c r="E991" s="47" t="n"/>
      <c r="F991" s="47" t="n"/>
    </row>
    <row r="992">
      <c r="A992" s="16">
        <f>IF($B992="","",COUNTA($B$4:$B992))</f>
        <v/>
      </c>
      <c r="B992" s="71" t="n"/>
      <c r="C992" s="38" t="n"/>
      <c r="D992" s="45" t="n"/>
      <c r="E992" s="45" t="n"/>
      <c r="F992" s="45" t="n"/>
    </row>
    <row r="993">
      <c r="A993" s="16">
        <f>IF($B993="","",COUNTA($B$4:$B993))</f>
        <v/>
      </c>
      <c r="B993" s="72" t="n"/>
      <c r="C993" s="40" t="n"/>
      <c r="D993" s="47" t="n"/>
      <c r="E993" s="47" t="n"/>
      <c r="F993" s="47" t="n"/>
    </row>
    <row r="994">
      <c r="A994" s="16">
        <f>IF($B994="","",COUNTA($B$4:$B994))</f>
        <v/>
      </c>
      <c r="B994" s="71" t="n"/>
      <c r="C994" s="38" t="n"/>
      <c r="D994" s="45" t="n"/>
      <c r="E994" s="45" t="n"/>
      <c r="F994" s="45" t="n"/>
    </row>
    <row r="995">
      <c r="A995" s="16">
        <f>IF($B995="","",COUNTA($B$4:$B995))</f>
        <v/>
      </c>
      <c r="B995" s="72" t="n"/>
      <c r="C995" s="40" t="n"/>
      <c r="D995" s="47" t="n"/>
      <c r="E995" s="47" t="n"/>
      <c r="F995" s="47" t="n"/>
    </row>
    <row r="996">
      <c r="A996" s="16">
        <f>IF($B996="","",COUNTA($B$4:$B996))</f>
        <v/>
      </c>
      <c r="B996" s="71" t="n"/>
      <c r="C996" s="38" t="n"/>
      <c r="D996" s="45" t="n"/>
      <c r="E996" s="45" t="n"/>
      <c r="F996" s="45" t="n"/>
    </row>
    <row r="997">
      <c r="A997" s="16">
        <f>IF($B997="","",COUNTA($B$4:$B997))</f>
        <v/>
      </c>
      <c r="B997" s="72" t="n"/>
      <c r="C997" s="40" t="n"/>
      <c r="D997" s="47" t="n"/>
      <c r="E997" s="47" t="n"/>
      <c r="F997" s="47" t="n"/>
    </row>
    <row r="998">
      <c r="A998" s="16">
        <f>IF($B998="","",COUNTA($B$4:$B998))</f>
        <v/>
      </c>
      <c r="B998" s="71" t="n"/>
      <c r="C998" s="38" t="n"/>
      <c r="D998" s="45" t="n"/>
      <c r="E998" s="45" t="n"/>
      <c r="F998" s="45" t="n"/>
    </row>
    <row r="999">
      <c r="A999" s="16">
        <f>IF($B999="","",COUNTA($B$4:$B999))</f>
        <v/>
      </c>
      <c r="B999" s="72" t="n"/>
      <c r="C999" s="40" t="n"/>
      <c r="D999" s="47" t="n"/>
      <c r="E999" s="47" t="n"/>
      <c r="F999" s="47" t="n"/>
    </row>
    <row r="1000">
      <c r="A1000" s="16">
        <f>IF($B1000="","",COUNTA($B$4:$B1000))</f>
        <v/>
      </c>
      <c r="B1000" s="71" t="n"/>
      <c r="C1000" s="38" t="n"/>
      <c r="D1000" s="45" t="n"/>
      <c r="E1000" s="45" t="n"/>
      <c r="F1000" s="45" t="n"/>
    </row>
    <row r="1001">
      <c r="A1001" s="16">
        <f>IF($B1001="","",COUNTA($B$4:$B1001))</f>
        <v/>
      </c>
      <c r="B1001" s="72" t="n"/>
      <c r="C1001" s="40" t="n"/>
      <c r="D1001" s="47" t="n"/>
      <c r="E1001" s="47" t="n"/>
      <c r="F1001" s="47" t="n"/>
    </row>
    <row r="1002">
      <c r="A1002" s="16">
        <f>IF($B1002="","",COUNTA($B$4:$B1002))</f>
        <v/>
      </c>
      <c r="B1002" s="71" t="n"/>
      <c r="C1002" s="38" t="n"/>
      <c r="D1002" s="45" t="n"/>
      <c r="E1002" s="45" t="n"/>
      <c r="F1002" s="45" t="n"/>
    </row>
    <row r="1003">
      <c r="A1003" s="16">
        <f>IF($B1003="","",COUNTA($B$4:$B1003))</f>
        <v/>
      </c>
      <c r="B1003" s="72" t="n"/>
      <c r="C1003" s="40" t="n"/>
      <c r="D1003" s="47" t="n"/>
      <c r="E1003" s="47" t="n"/>
      <c r="F1003" s="47" t="n"/>
    </row>
    <row r="1004">
      <c r="A1004" s="16">
        <f>IF($B1004="","",COUNTA($B$4:$B1004))</f>
        <v/>
      </c>
      <c r="B1004" s="71" t="n"/>
      <c r="C1004" s="38" t="n"/>
      <c r="D1004" s="45" t="n"/>
      <c r="E1004" s="45" t="n"/>
      <c r="F1004" s="45" t="n"/>
    </row>
    <row r="1005">
      <c r="A1005" s="16">
        <f>IF($B1005="","",COUNTA($B$4:$B1005))</f>
        <v/>
      </c>
      <c r="B1005" s="72" t="n"/>
      <c r="C1005" s="40" t="n"/>
      <c r="D1005" s="47" t="n"/>
      <c r="E1005" s="47" t="n"/>
      <c r="F1005" s="47" t="n"/>
    </row>
    <row r="1006">
      <c r="A1006" s="16">
        <f>IF($B1006="","",COUNTA($B$4:$B1006))</f>
        <v/>
      </c>
      <c r="B1006" s="71" t="n"/>
      <c r="C1006" s="38" t="n"/>
      <c r="D1006" s="45" t="n"/>
      <c r="E1006" s="45" t="n"/>
      <c r="F1006" s="45" t="n"/>
    </row>
    <row r="1007">
      <c r="A1007" s="16">
        <f>IF($B1007="","",COUNTA($B$4:$B1007))</f>
        <v/>
      </c>
      <c r="B1007" s="72" t="n"/>
      <c r="C1007" s="40" t="n"/>
      <c r="D1007" s="47" t="n"/>
      <c r="E1007" s="47" t="n"/>
      <c r="F1007" s="47" t="n"/>
    </row>
    <row r="1008">
      <c r="A1008" s="16">
        <f>IF($B1008="","",COUNTA($B$4:$B1008))</f>
        <v/>
      </c>
      <c r="B1008" s="71" t="n"/>
      <c r="C1008" s="38" t="n"/>
      <c r="D1008" s="45" t="n"/>
      <c r="E1008" s="45" t="n"/>
      <c r="F1008" s="45" t="n"/>
    </row>
    <row r="1009">
      <c r="A1009" s="16">
        <f>IF($B1009="","",COUNTA($B$4:$B1009))</f>
        <v/>
      </c>
      <c r="B1009" s="72" t="n"/>
      <c r="C1009" s="40" t="n"/>
      <c r="D1009" s="47" t="n"/>
      <c r="E1009" s="47" t="n"/>
      <c r="F1009" s="47" t="n"/>
    </row>
    <row r="1010">
      <c r="A1010" s="16">
        <f>IF($B1010="","",COUNTA($B$4:$B1010))</f>
        <v/>
      </c>
      <c r="B1010" s="71" t="n"/>
      <c r="C1010" s="38" t="n"/>
      <c r="D1010" s="45" t="n"/>
      <c r="E1010" s="45" t="n"/>
      <c r="F1010" s="45" t="n"/>
    </row>
    <row r="1011">
      <c r="A1011" s="16">
        <f>IF($B1011="","",COUNTA($B$4:$B1011))</f>
        <v/>
      </c>
      <c r="B1011" s="72" t="n"/>
      <c r="C1011" s="40" t="n"/>
      <c r="D1011" s="47" t="n"/>
      <c r="E1011" s="47" t="n"/>
      <c r="F1011" s="47" t="n"/>
    </row>
    <row r="1012">
      <c r="A1012" s="16">
        <f>IF($B1012="","",COUNTA($B$4:$B1012))</f>
        <v/>
      </c>
      <c r="B1012" s="71" t="n"/>
      <c r="C1012" s="38" t="n"/>
      <c r="D1012" s="45" t="n"/>
      <c r="E1012" s="45" t="n"/>
      <c r="F1012" s="45" t="n"/>
    </row>
    <row r="1013">
      <c r="A1013" s="16">
        <f>IF($B1013="","",COUNTA($B$4:$B1013))</f>
        <v/>
      </c>
      <c r="B1013" s="72" t="n"/>
      <c r="C1013" s="40" t="n"/>
      <c r="D1013" s="47" t="n"/>
      <c r="E1013" s="47" t="n"/>
      <c r="F1013" s="47" t="n"/>
    </row>
    <row r="1014">
      <c r="A1014" s="16">
        <f>IF($B1014="","",COUNTA($B$4:$B1014))</f>
        <v/>
      </c>
      <c r="B1014" s="71" t="n"/>
      <c r="C1014" s="38" t="n"/>
      <c r="D1014" s="45" t="n"/>
      <c r="E1014" s="45" t="n"/>
      <c r="F1014" s="45" t="n"/>
    </row>
    <row r="1015">
      <c r="A1015" s="16">
        <f>IF($B1015="","",COUNTA($B$4:$B1015))</f>
        <v/>
      </c>
      <c r="B1015" s="72" t="n"/>
      <c r="C1015" s="40" t="n"/>
      <c r="D1015" s="47" t="n"/>
      <c r="E1015" s="47" t="n"/>
      <c r="F1015" s="47" t="n"/>
    </row>
    <row r="1016">
      <c r="A1016" s="16">
        <f>IF($B1016="","",COUNTA($B$4:$B1016))</f>
        <v/>
      </c>
      <c r="B1016" s="71" t="n"/>
      <c r="C1016" s="38" t="n"/>
      <c r="D1016" s="45" t="n"/>
      <c r="E1016" s="45" t="n"/>
      <c r="F1016" s="45" t="n"/>
    </row>
    <row r="1017">
      <c r="A1017" s="16">
        <f>IF($B1017="","",COUNTA($B$4:$B1017))</f>
        <v/>
      </c>
      <c r="B1017" s="72" t="n"/>
      <c r="C1017" s="40" t="n"/>
      <c r="D1017" s="47" t="n"/>
      <c r="E1017" s="47" t="n"/>
      <c r="F1017" s="47" t="n"/>
    </row>
    <row r="1018">
      <c r="A1018" s="16">
        <f>IF($B1018="","",COUNTA($B$4:$B1018))</f>
        <v/>
      </c>
      <c r="B1018" s="71" t="n"/>
      <c r="C1018" s="38" t="n"/>
      <c r="D1018" s="45" t="n"/>
      <c r="E1018" s="45" t="n"/>
      <c r="F1018" s="45" t="n"/>
    </row>
    <row r="1019">
      <c r="A1019" s="16">
        <f>IF($B1019="","",COUNTA($B$4:$B1019))</f>
        <v/>
      </c>
      <c r="B1019" s="72" t="n"/>
      <c r="C1019" s="40" t="n"/>
      <c r="D1019" s="47" t="n"/>
      <c r="E1019" s="47" t="n"/>
      <c r="F1019" s="47" t="n"/>
    </row>
    <row r="1020">
      <c r="A1020" s="16">
        <f>IF($B1020="","",COUNTA($B$4:$B1020))</f>
        <v/>
      </c>
      <c r="B1020" s="71" t="n"/>
      <c r="C1020" s="38" t="n"/>
      <c r="D1020" s="45" t="n"/>
      <c r="E1020" s="45" t="n"/>
      <c r="F1020" s="45" t="n"/>
    </row>
    <row r="1021">
      <c r="A1021" s="16">
        <f>IF($B1021="","",COUNTA($B$4:$B1021))</f>
        <v/>
      </c>
      <c r="B1021" s="72" t="n"/>
      <c r="C1021" s="40" t="n"/>
      <c r="D1021" s="47" t="n"/>
      <c r="E1021" s="47" t="n"/>
      <c r="F1021" s="47" t="n"/>
    </row>
    <row r="1022">
      <c r="A1022" s="16">
        <f>IF($B1022="","",COUNTA($B$4:$B1022))</f>
        <v/>
      </c>
      <c r="B1022" s="71" t="n"/>
      <c r="C1022" s="38" t="n"/>
      <c r="D1022" s="45" t="n"/>
      <c r="E1022" s="45" t="n"/>
      <c r="F1022" s="45" t="n"/>
    </row>
    <row r="1023">
      <c r="A1023" s="16">
        <f>IF($B1023="","",COUNTA($B$4:$B1023))</f>
        <v/>
      </c>
      <c r="B1023" s="72" t="n"/>
      <c r="C1023" s="40" t="n"/>
      <c r="D1023" s="47" t="n"/>
      <c r="E1023" s="47" t="n"/>
      <c r="F1023" s="47" t="n"/>
    </row>
    <row r="1024">
      <c r="A1024" s="16">
        <f>IF($B1024="","",COUNTA($B$4:$B1024))</f>
        <v/>
      </c>
      <c r="B1024" s="71" t="n"/>
      <c r="C1024" s="38" t="n"/>
      <c r="D1024" s="45" t="n"/>
      <c r="E1024" s="45" t="n"/>
      <c r="F1024" s="45" t="n"/>
    </row>
    <row r="1025">
      <c r="A1025" s="16">
        <f>IF($B1025="","",COUNTA($B$4:$B1025))</f>
        <v/>
      </c>
      <c r="B1025" s="72" t="n"/>
      <c r="C1025" s="40" t="n"/>
      <c r="D1025" s="47" t="n"/>
      <c r="E1025" s="47" t="n"/>
      <c r="F1025" s="47" t="n"/>
    </row>
    <row r="1026">
      <c r="A1026" s="16">
        <f>IF($B1026="","",COUNTA($B$4:$B1026))</f>
        <v/>
      </c>
      <c r="B1026" s="71" t="n"/>
      <c r="C1026" s="38" t="n"/>
      <c r="D1026" s="45" t="n"/>
      <c r="E1026" s="45" t="n"/>
      <c r="F1026" s="45" t="n"/>
    </row>
    <row r="1027">
      <c r="A1027" s="16">
        <f>IF($B1027="","",COUNTA($B$4:$B1027))</f>
        <v/>
      </c>
      <c r="B1027" s="72" t="n"/>
      <c r="C1027" s="40" t="n"/>
      <c r="D1027" s="47" t="n"/>
      <c r="E1027" s="47" t="n"/>
      <c r="F1027" s="47" t="n"/>
    </row>
    <row r="1028">
      <c r="A1028" s="16">
        <f>IF($B1028="","",COUNTA($B$4:$B1028))</f>
        <v/>
      </c>
      <c r="B1028" s="71" t="n"/>
      <c r="C1028" s="38" t="n"/>
      <c r="D1028" s="45" t="n"/>
      <c r="E1028" s="45" t="n"/>
      <c r="F1028" s="45" t="n"/>
    </row>
    <row r="1029">
      <c r="A1029" s="16">
        <f>IF($B1029="","",COUNTA($B$4:$B1029))</f>
        <v/>
      </c>
      <c r="B1029" s="72" t="n"/>
      <c r="C1029" s="40" t="n"/>
      <c r="D1029" s="47" t="n"/>
      <c r="E1029" s="47" t="n"/>
      <c r="F1029" s="47" t="n"/>
    </row>
    <row r="1030">
      <c r="A1030" s="16">
        <f>IF($B1030="","",COUNTA($B$4:$B1030))</f>
        <v/>
      </c>
      <c r="B1030" s="71" t="n"/>
      <c r="C1030" s="38" t="n"/>
      <c r="D1030" s="45" t="n"/>
      <c r="E1030" s="45" t="n"/>
      <c r="F1030" s="45" t="n"/>
    </row>
    <row r="1031">
      <c r="A1031" s="16">
        <f>IF($B1031="","",COUNTA($B$4:$B1031))</f>
        <v/>
      </c>
      <c r="B1031" s="72" t="n"/>
      <c r="C1031" s="40" t="n"/>
      <c r="D1031" s="47" t="n"/>
      <c r="E1031" s="47" t="n"/>
      <c r="F1031" s="47" t="n"/>
    </row>
    <row r="1032">
      <c r="A1032" s="16">
        <f>IF($B1032="","",COUNTA($B$4:$B1032))</f>
        <v/>
      </c>
      <c r="B1032" s="71" t="n"/>
      <c r="C1032" s="38" t="n"/>
      <c r="D1032" s="45" t="n"/>
      <c r="E1032" s="45" t="n"/>
      <c r="F1032" s="45" t="n"/>
    </row>
    <row r="1033">
      <c r="A1033" s="16">
        <f>IF($B1033="","",COUNTA($B$4:$B1033))</f>
        <v/>
      </c>
      <c r="B1033" s="72" t="n"/>
      <c r="C1033" s="40" t="n"/>
      <c r="D1033" s="47" t="n"/>
      <c r="E1033" s="47" t="n"/>
      <c r="F1033" s="47" t="n"/>
    </row>
    <row r="1034">
      <c r="A1034" s="16">
        <f>IF($B1034="","",COUNTA($B$4:$B1034))</f>
        <v/>
      </c>
      <c r="B1034" s="71" t="n"/>
      <c r="C1034" s="38" t="n"/>
      <c r="D1034" s="45" t="n"/>
      <c r="E1034" s="45" t="n"/>
      <c r="F1034" s="45" t="n"/>
    </row>
    <row r="1035">
      <c r="A1035" s="16">
        <f>IF($B1035="","",COUNTA($B$4:$B1035))</f>
        <v/>
      </c>
      <c r="B1035" s="72" t="n"/>
      <c r="C1035" s="40" t="n"/>
      <c r="D1035" s="47" t="n"/>
      <c r="E1035" s="47" t="n"/>
      <c r="F1035" s="47" t="n"/>
    </row>
    <row r="1036">
      <c r="A1036" s="16">
        <f>IF($B1036="","",COUNTA($B$4:$B1036))</f>
        <v/>
      </c>
      <c r="B1036" s="71" t="n"/>
      <c r="C1036" s="38" t="n"/>
      <c r="D1036" s="45" t="n"/>
      <c r="E1036" s="45" t="n"/>
      <c r="F1036" s="45" t="n"/>
    </row>
    <row r="1037">
      <c r="A1037" s="16">
        <f>IF($B1037="","",COUNTA($B$4:$B1037))</f>
        <v/>
      </c>
      <c r="B1037" s="72" t="n"/>
      <c r="C1037" s="40" t="n"/>
      <c r="D1037" s="47" t="n"/>
      <c r="E1037" s="47" t="n"/>
      <c r="F1037" s="47" t="n"/>
    </row>
    <row r="1038">
      <c r="A1038" s="16">
        <f>IF($B1038="","",COUNTA($B$4:$B1038))</f>
        <v/>
      </c>
      <c r="B1038" s="71" t="n"/>
      <c r="C1038" s="38" t="n"/>
      <c r="D1038" s="45" t="n"/>
      <c r="E1038" s="45" t="n"/>
      <c r="F1038" s="45" t="n"/>
    </row>
    <row r="1039">
      <c r="A1039" s="16">
        <f>IF($B1039="","",COUNTA($B$4:$B1039))</f>
        <v/>
      </c>
      <c r="B1039" s="72" t="n"/>
      <c r="C1039" s="40" t="n"/>
      <c r="D1039" s="47" t="n"/>
      <c r="E1039" s="47" t="n"/>
      <c r="F1039" s="47" t="n"/>
    </row>
    <row r="1040">
      <c r="A1040" s="16">
        <f>IF($B1040="","",COUNTA($B$4:$B1040))</f>
        <v/>
      </c>
      <c r="B1040" s="71" t="n"/>
      <c r="C1040" s="38" t="n"/>
      <c r="D1040" s="45" t="n"/>
      <c r="E1040" s="45" t="n"/>
      <c r="F1040" s="45" t="n"/>
    </row>
    <row r="1041">
      <c r="A1041" s="16">
        <f>IF($B1041="","",COUNTA($B$4:$B1041))</f>
        <v/>
      </c>
      <c r="B1041" s="72" t="n"/>
      <c r="C1041" s="40" t="n"/>
      <c r="D1041" s="47" t="n"/>
      <c r="E1041" s="47" t="n"/>
      <c r="F1041" s="47" t="n"/>
    </row>
    <row r="1042">
      <c r="A1042" s="16">
        <f>IF($B1042="","",COUNTA($B$4:$B1042))</f>
        <v/>
      </c>
      <c r="B1042" s="71" t="n"/>
      <c r="C1042" s="38" t="n"/>
      <c r="D1042" s="45" t="n"/>
      <c r="E1042" s="45" t="n"/>
      <c r="F1042" s="45" t="n"/>
    </row>
    <row r="1043">
      <c r="A1043" s="16">
        <f>IF($B1043="","",COUNTA($B$4:$B1043))</f>
        <v/>
      </c>
      <c r="B1043" s="72" t="n"/>
      <c r="C1043" s="40" t="n"/>
      <c r="D1043" s="47" t="n"/>
      <c r="E1043" s="47" t="n"/>
      <c r="F1043" s="47" t="n"/>
    </row>
    <row r="1044">
      <c r="A1044" s="16">
        <f>IF($B1044="","",COUNTA($B$4:$B1044))</f>
        <v/>
      </c>
      <c r="B1044" s="71" t="n"/>
      <c r="C1044" s="38" t="n"/>
      <c r="D1044" s="45" t="n"/>
      <c r="E1044" s="45" t="n"/>
      <c r="F1044" s="45" t="n"/>
    </row>
    <row r="1045">
      <c r="A1045" s="16">
        <f>IF($B1045="","",COUNTA($B$4:$B1045))</f>
        <v/>
      </c>
      <c r="B1045" s="72" t="n"/>
      <c r="C1045" s="40" t="n"/>
      <c r="D1045" s="47" t="n"/>
      <c r="E1045" s="47" t="n"/>
      <c r="F1045" s="47" t="n"/>
    </row>
    <row r="1046">
      <c r="A1046" s="16">
        <f>IF($B1046="","",COUNTA($B$4:$B1046))</f>
        <v/>
      </c>
      <c r="B1046" s="71" t="n"/>
      <c r="C1046" s="38" t="n"/>
      <c r="D1046" s="45" t="n"/>
      <c r="E1046" s="45" t="n"/>
      <c r="F1046" s="45" t="n"/>
    </row>
    <row r="1047">
      <c r="A1047" s="16">
        <f>IF($B1047="","",COUNTA($B$4:$B1047))</f>
        <v/>
      </c>
      <c r="B1047" s="72" t="n"/>
      <c r="C1047" s="40" t="n"/>
      <c r="D1047" s="47" t="n"/>
      <c r="E1047" s="47" t="n"/>
      <c r="F1047" s="47" t="n"/>
    </row>
    <row r="1048">
      <c r="A1048" s="16">
        <f>IF($B1048="","",COUNTA($B$4:$B1048))</f>
        <v/>
      </c>
      <c r="B1048" s="71" t="n"/>
      <c r="C1048" s="38" t="n"/>
      <c r="D1048" s="45" t="n"/>
      <c r="E1048" s="45" t="n"/>
      <c r="F1048" s="45" t="n"/>
    </row>
    <row r="1049">
      <c r="A1049" s="16">
        <f>IF($B1049="","",COUNTA($B$4:$B1049))</f>
        <v/>
      </c>
      <c r="B1049" s="72" t="n"/>
      <c r="C1049" s="40" t="n"/>
      <c r="D1049" s="47" t="n"/>
      <c r="E1049" s="47" t="n"/>
      <c r="F1049" s="47" t="n"/>
    </row>
    <row r="1050">
      <c r="A1050" s="16">
        <f>IF($B1050="","",COUNTA($B$4:$B1050))</f>
        <v/>
      </c>
      <c r="B1050" s="71" t="n"/>
      <c r="C1050" s="38" t="n"/>
      <c r="D1050" s="45" t="n"/>
      <c r="E1050" s="45" t="n"/>
      <c r="F1050" s="45" t="n"/>
    </row>
    <row r="1051">
      <c r="A1051" s="16">
        <f>IF($B1051="","",COUNTA($B$4:$B1051))</f>
        <v/>
      </c>
      <c r="B1051" s="72" t="n"/>
      <c r="C1051" s="40" t="n"/>
      <c r="D1051" s="47" t="n"/>
      <c r="E1051" s="47" t="n"/>
      <c r="F1051" s="47" t="n"/>
    </row>
    <row r="1052">
      <c r="A1052" s="16">
        <f>IF($B1052="","",COUNTA($B$4:$B1052))</f>
        <v/>
      </c>
      <c r="B1052" s="71" t="n"/>
      <c r="C1052" s="38" t="n"/>
      <c r="D1052" s="45" t="n"/>
      <c r="E1052" s="45" t="n"/>
      <c r="F1052" s="45" t="n"/>
    </row>
    <row r="1053">
      <c r="A1053" s="16">
        <f>IF($B1053="","",COUNTA($B$4:$B1053))</f>
        <v/>
      </c>
      <c r="B1053" s="72" t="n"/>
      <c r="C1053" s="40" t="n"/>
      <c r="D1053" s="47" t="n"/>
      <c r="E1053" s="47" t="n"/>
      <c r="F1053" s="47" t="n"/>
    </row>
    <row r="1054">
      <c r="A1054" s="16">
        <f>IF($B1054="","",COUNTA($B$4:$B1054))</f>
        <v/>
      </c>
      <c r="B1054" s="71" t="n"/>
      <c r="C1054" s="38" t="n"/>
      <c r="D1054" s="45" t="n"/>
      <c r="E1054" s="45" t="n"/>
      <c r="F1054" s="45" t="n"/>
    </row>
    <row r="1055">
      <c r="A1055" s="16">
        <f>IF($B1055="","",COUNTA($B$4:$B1055))</f>
        <v/>
      </c>
      <c r="B1055" s="72" t="n"/>
      <c r="C1055" s="40" t="n"/>
      <c r="D1055" s="47" t="n"/>
      <c r="E1055" s="47" t="n"/>
      <c r="F1055" s="47" t="n"/>
    </row>
    <row r="1056">
      <c r="A1056" s="16">
        <f>IF($B1056="","",COUNTA($B$4:$B1056))</f>
        <v/>
      </c>
      <c r="B1056" s="71" t="n"/>
      <c r="C1056" s="38" t="n"/>
      <c r="D1056" s="45" t="n"/>
      <c r="E1056" s="45" t="n"/>
      <c r="F1056" s="45" t="n"/>
    </row>
    <row r="1057">
      <c r="A1057" s="16">
        <f>IF($B1057="","",COUNTA($B$4:$B1057))</f>
        <v/>
      </c>
      <c r="B1057" s="72" t="n"/>
      <c r="C1057" s="40" t="n"/>
      <c r="D1057" s="47" t="n"/>
      <c r="E1057" s="47" t="n"/>
      <c r="F1057" s="47" t="n"/>
    </row>
    <row r="1058">
      <c r="A1058" s="16">
        <f>IF($B1058="","",COUNTA($B$4:$B1058))</f>
        <v/>
      </c>
      <c r="B1058" s="71" t="n"/>
      <c r="C1058" s="38" t="n"/>
      <c r="D1058" s="45" t="n"/>
      <c r="E1058" s="45" t="n"/>
      <c r="F1058" s="45" t="n"/>
    </row>
    <row r="1059">
      <c r="A1059" s="16">
        <f>IF($B1059="","",COUNTA($B$4:$B1059))</f>
        <v/>
      </c>
      <c r="B1059" s="72" t="n"/>
      <c r="C1059" s="40" t="n"/>
      <c r="D1059" s="47" t="n"/>
      <c r="E1059" s="47" t="n"/>
      <c r="F1059" s="47" t="n"/>
    </row>
    <row r="1060">
      <c r="A1060" s="16">
        <f>IF($B1060="","",COUNTA($B$4:$B1060))</f>
        <v/>
      </c>
      <c r="B1060" s="71" t="n"/>
      <c r="C1060" s="38" t="n"/>
      <c r="D1060" s="45" t="n"/>
      <c r="E1060" s="45" t="n"/>
      <c r="F1060" s="45" t="n"/>
    </row>
    <row r="1061">
      <c r="A1061" s="16">
        <f>IF($B1061="","",COUNTA($B$4:$B1061))</f>
        <v/>
      </c>
      <c r="B1061" s="72" t="n"/>
      <c r="C1061" s="40" t="n"/>
      <c r="D1061" s="47" t="n"/>
      <c r="E1061" s="47" t="n"/>
      <c r="F1061" s="47" t="n"/>
    </row>
    <row r="1062">
      <c r="A1062" s="16">
        <f>IF($B1062="","",COUNTA($B$4:$B1062))</f>
        <v/>
      </c>
      <c r="B1062" s="71" t="n"/>
      <c r="C1062" s="38" t="n"/>
      <c r="D1062" s="45" t="n"/>
      <c r="E1062" s="45" t="n"/>
      <c r="F1062" s="45" t="n"/>
    </row>
    <row r="1063">
      <c r="A1063" s="16">
        <f>IF($B1063="","",COUNTA($B$4:$B1063))</f>
        <v/>
      </c>
      <c r="B1063" s="72" t="n"/>
      <c r="C1063" s="40" t="n"/>
      <c r="D1063" s="47" t="n"/>
      <c r="E1063" s="47" t="n"/>
      <c r="F1063" s="47" t="n"/>
    </row>
    <row r="1064">
      <c r="A1064" s="16">
        <f>IF($B1064="","",COUNTA($B$4:$B1064))</f>
        <v/>
      </c>
      <c r="B1064" s="71" t="n"/>
      <c r="C1064" s="38" t="n"/>
      <c r="D1064" s="45" t="n"/>
      <c r="E1064" s="45" t="n"/>
      <c r="F1064" s="45" t="n"/>
    </row>
    <row r="1065">
      <c r="A1065" s="16">
        <f>IF($B1065="","",COUNTA($B$4:$B1065))</f>
        <v/>
      </c>
      <c r="B1065" s="72" t="n"/>
      <c r="C1065" s="40" t="n"/>
      <c r="D1065" s="47" t="n"/>
      <c r="E1065" s="47" t="n"/>
      <c r="F1065" s="47" t="n"/>
    </row>
    <row r="1066">
      <c r="A1066" s="16">
        <f>IF($B1066="","",COUNTA($B$4:$B1066))</f>
        <v/>
      </c>
      <c r="B1066" s="71" t="n"/>
      <c r="C1066" s="38" t="n"/>
      <c r="D1066" s="45" t="n"/>
      <c r="E1066" s="45" t="n"/>
      <c r="F1066" s="45" t="n"/>
    </row>
    <row r="1067">
      <c r="A1067" s="16">
        <f>IF($B1067="","",COUNTA($B$4:$B1067))</f>
        <v/>
      </c>
      <c r="B1067" s="72" t="n"/>
      <c r="C1067" s="40" t="n"/>
      <c r="D1067" s="47" t="n"/>
      <c r="E1067" s="47" t="n"/>
      <c r="F1067" s="47" t="n"/>
    </row>
    <row r="1068">
      <c r="A1068" s="16">
        <f>IF($B1068="","",COUNTA($B$4:$B1068))</f>
        <v/>
      </c>
      <c r="B1068" s="71" t="n"/>
      <c r="C1068" s="38" t="n"/>
      <c r="D1068" s="45" t="n"/>
      <c r="E1068" s="45" t="n"/>
      <c r="F1068" s="45" t="n"/>
    </row>
    <row r="1069">
      <c r="A1069" s="16">
        <f>IF($B1069="","",COUNTA($B$4:$B1069))</f>
        <v/>
      </c>
      <c r="B1069" s="72" t="n"/>
      <c r="C1069" s="40" t="n"/>
      <c r="D1069" s="47" t="n"/>
      <c r="E1069" s="47" t="n"/>
      <c r="F1069" s="47" t="n"/>
    </row>
    <row r="1070">
      <c r="A1070" s="16">
        <f>IF($B1070="","",COUNTA($B$4:$B1070))</f>
        <v/>
      </c>
      <c r="B1070" s="71" t="n"/>
      <c r="C1070" s="38" t="n"/>
      <c r="D1070" s="45" t="n"/>
      <c r="E1070" s="45" t="n"/>
      <c r="F1070" s="45" t="n"/>
    </row>
    <row r="1071">
      <c r="A1071" s="16">
        <f>IF($B1071="","",COUNTA($B$4:$B1071))</f>
        <v/>
      </c>
      <c r="B1071" s="72" t="n"/>
      <c r="C1071" s="40" t="n"/>
      <c r="D1071" s="47" t="n"/>
      <c r="E1071" s="47" t="n"/>
      <c r="F1071" s="47" t="n"/>
    </row>
    <row r="1072">
      <c r="A1072" s="16">
        <f>IF($B1072="","",COUNTA($B$4:$B1072))</f>
        <v/>
      </c>
      <c r="B1072" s="71" t="n"/>
      <c r="C1072" s="38" t="n"/>
      <c r="D1072" s="45" t="n"/>
      <c r="E1072" s="45" t="n"/>
      <c r="F1072" s="45" t="n"/>
    </row>
    <row r="1073">
      <c r="A1073" s="16">
        <f>IF($B1073="","",COUNTA($B$4:$B1073))</f>
        <v/>
      </c>
      <c r="B1073" s="72" t="n"/>
      <c r="C1073" s="40" t="n"/>
      <c r="D1073" s="47" t="n"/>
      <c r="E1073" s="47" t="n"/>
      <c r="F1073" s="47" t="n"/>
    </row>
    <row r="1074">
      <c r="A1074" s="16">
        <f>IF($B1074="","",COUNTA($B$4:$B1074))</f>
        <v/>
      </c>
      <c r="B1074" s="71" t="n"/>
      <c r="C1074" s="38" t="n"/>
      <c r="D1074" s="45" t="n"/>
      <c r="E1074" s="45" t="n"/>
      <c r="F1074" s="45" t="n"/>
    </row>
    <row r="1075">
      <c r="A1075" s="16">
        <f>IF($B1075="","",COUNTA($B$4:$B1075))</f>
        <v/>
      </c>
      <c r="B1075" s="72" t="n"/>
      <c r="C1075" s="40" t="n"/>
      <c r="D1075" s="47" t="n"/>
      <c r="E1075" s="47" t="n"/>
      <c r="F1075" s="47" t="n"/>
    </row>
    <row r="1076">
      <c r="A1076" s="16">
        <f>IF($B1076="","",COUNTA($B$4:$B1076))</f>
        <v/>
      </c>
      <c r="B1076" s="71" t="n"/>
      <c r="C1076" s="38" t="n"/>
      <c r="D1076" s="45" t="n"/>
      <c r="E1076" s="45" t="n"/>
      <c r="F1076" s="45" t="n"/>
    </row>
    <row r="1077">
      <c r="A1077" s="16">
        <f>IF($B1077="","",COUNTA($B$4:$B1077))</f>
        <v/>
      </c>
      <c r="B1077" s="72" t="n"/>
      <c r="C1077" s="40" t="n"/>
      <c r="D1077" s="47" t="n"/>
      <c r="E1077" s="47" t="n"/>
      <c r="F1077" s="47" t="n"/>
    </row>
    <row r="1078">
      <c r="A1078" s="16">
        <f>IF($B1078="","",COUNTA($B$4:$B1078))</f>
        <v/>
      </c>
      <c r="B1078" s="71" t="n"/>
      <c r="C1078" s="38" t="n"/>
      <c r="D1078" s="45" t="n"/>
      <c r="E1078" s="45" t="n"/>
      <c r="F1078" s="45" t="n"/>
    </row>
    <row r="1079">
      <c r="A1079" s="16">
        <f>IF($B1079="","",COUNTA($B$4:$B1079))</f>
        <v/>
      </c>
      <c r="B1079" s="72" t="n"/>
      <c r="C1079" s="40" t="n"/>
      <c r="D1079" s="47" t="n"/>
      <c r="E1079" s="47" t="n"/>
      <c r="F1079" s="47" t="n"/>
    </row>
    <row r="1080">
      <c r="A1080" s="16">
        <f>IF($B1080="","",COUNTA($B$4:$B1080))</f>
        <v/>
      </c>
      <c r="B1080" s="71" t="n"/>
      <c r="C1080" s="38" t="n"/>
      <c r="D1080" s="45" t="n"/>
      <c r="E1080" s="45" t="n"/>
      <c r="F1080" s="45" t="n"/>
    </row>
    <row r="1081">
      <c r="A1081" s="16">
        <f>IF($B1081="","",COUNTA($B$4:$B1081))</f>
        <v/>
      </c>
      <c r="B1081" s="72" t="n"/>
      <c r="C1081" s="40" t="n"/>
      <c r="D1081" s="47" t="n"/>
      <c r="E1081" s="47" t="n"/>
      <c r="F1081" s="47" t="n"/>
    </row>
    <row r="1082">
      <c r="A1082" s="16">
        <f>IF($B1082="","",COUNTA($B$4:$B1082))</f>
        <v/>
      </c>
      <c r="B1082" s="71" t="n"/>
      <c r="C1082" s="38" t="n"/>
      <c r="D1082" s="45" t="n"/>
      <c r="E1082" s="45" t="n"/>
      <c r="F1082" s="45" t="n"/>
    </row>
    <row r="1083">
      <c r="A1083" s="16">
        <f>IF($B1083="","",COUNTA($B$4:$B1083))</f>
        <v/>
      </c>
      <c r="B1083" s="72" t="n"/>
      <c r="C1083" s="40" t="n"/>
      <c r="D1083" s="47" t="n"/>
      <c r="E1083" s="47" t="n"/>
      <c r="F1083" s="47" t="n"/>
    </row>
    <row r="1084">
      <c r="A1084" s="16">
        <f>IF($B1084="","",COUNTA($B$4:$B1084))</f>
        <v/>
      </c>
      <c r="B1084" s="71" t="n"/>
      <c r="C1084" s="38" t="n"/>
      <c r="D1084" s="45" t="n"/>
      <c r="E1084" s="45" t="n"/>
      <c r="F1084" s="45" t="n"/>
    </row>
    <row r="1085">
      <c r="A1085" s="16">
        <f>IF($B1085="","",COUNTA($B$4:$B1085))</f>
        <v/>
      </c>
      <c r="B1085" s="72" t="n"/>
      <c r="C1085" s="40" t="n"/>
      <c r="D1085" s="47" t="n"/>
      <c r="E1085" s="47" t="n"/>
      <c r="F1085" s="47" t="n"/>
    </row>
    <row r="1086">
      <c r="A1086" s="16">
        <f>IF($B1086="","",COUNTA($B$4:$B1086))</f>
        <v/>
      </c>
      <c r="B1086" s="71" t="n"/>
      <c r="C1086" s="38" t="n"/>
      <c r="D1086" s="45" t="n"/>
      <c r="E1086" s="45" t="n"/>
      <c r="F1086" s="45" t="n"/>
    </row>
    <row r="1087">
      <c r="A1087" s="16">
        <f>IF($B1087="","",COUNTA($B$4:$B1087))</f>
        <v/>
      </c>
      <c r="B1087" s="72" t="n"/>
      <c r="C1087" s="40" t="n"/>
      <c r="D1087" s="47" t="n"/>
      <c r="E1087" s="47" t="n"/>
      <c r="F1087" s="47" t="n"/>
    </row>
    <row r="1088">
      <c r="A1088" s="16">
        <f>IF($B1088="","",COUNTA($B$4:$B1088))</f>
        <v/>
      </c>
      <c r="B1088" s="71" t="n"/>
      <c r="C1088" s="38" t="n"/>
      <c r="D1088" s="45" t="n"/>
      <c r="E1088" s="45" t="n"/>
      <c r="F1088" s="45" t="n"/>
    </row>
    <row r="1089">
      <c r="A1089" s="16">
        <f>IF($B1089="","",COUNTA($B$4:$B1089))</f>
        <v/>
      </c>
      <c r="B1089" s="72" t="n"/>
      <c r="C1089" s="40" t="n"/>
      <c r="D1089" s="47" t="n"/>
      <c r="E1089" s="47" t="n"/>
      <c r="F1089" s="47" t="n"/>
    </row>
    <row r="1090">
      <c r="A1090" s="16">
        <f>IF($B1090="","",COUNTA($B$4:$B1090))</f>
        <v/>
      </c>
      <c r="B1090" s="71" t="n"/>
      <c r="C1090" s="38" t="n"/>
      <c r="D1090" s="45" t="n"/>
      <c r="E1090" s="45" t="n"/>
      <c r="F1090" s="45" t="n"/>
    </row>
    <row r="1091">
      <c r="A1091" s="16">
        <f>IF($B1091="","",COUNTA($B$4:$B1091))</f>
        <v/>
      </c>
      <c r="B1091" s="72" t="n"/>
      <c r="C1091" s="40" t="n"/>
      <c r="D1091" s="47" t="n"/>
      <c r="E1091" s="47" t="n"/>
      <c r="F1091" s="47" t="n"/>
    </row>
    <row r="1092">
      <c r="A1092" s="16">
        <f>IF($B1092="","",COUNTA($B$4:$B1092))</f>
        <v/>
      </c>
      <c r="B1092" s="71" t="n"/>
      <c r="C1092" s="38" t="n"/>
      <c r="D1092" s="45" t="n"/>
      <c r="E1092" s="45" t="n"/>
      <c r="F1092" s="45" t="n"/>
    </row>
    <row r="1093">
      <c r="A1093" s="16">
        <f>IF($B1093="","",COUNTA($B$4:$B1093))</f>
        <v/>
      </c>
      <c r="B1093" s="72" t="n"/>
      <c r="C1093" s="40" t="n"/>
      <c r="D1093" s="47" t="n"/>
      <c r="E1093" s="47" t="n"/>
      <c r="F1093" s="47" t="n"/>
    </row>
    <row r="1094">
      <c r="A1094" s="16">
        <f>IF($B1094="","",COUNTA($B$4:$B1094))</f>
        <v/>
      </c>
      <c r="B1094" s="71" t="n"/>
      <c r="C1094" s="38" t="n"/>
      <c r="D1094" s="45" t="n"/>
      <c r="E1094" s="45" t="n"/>
      <c r="F1094" s="45" t="n"/>
    </row>
    <row r="1095">
      <c r="A1095" s="16">
        <f>IF($B1095="","",COUNTA($B$4:$B1095))</f>
        <v/>
      </c>
      <c r="B1095" s="72" t="n"/>
      <c r="C1095" s="40" t="n"/>
      <c r="D1095" s="47" t="n"/>
      <c r="E1095" s="47" t="n"/>
      <c r="F1095" s="47" t="n"/>
    </row>
    <row r="1096">
      <c r="A1096" s="16">
        <f>IF($B1096="","",COUNTA($B$4:$B1096))</f>
        <v/>
      </c>
      <c r="B1096" s="71" t="n"/>
      <c r="C1096" s="38" t="n"/>
      <c r="D1096" s="45" t="n"/>
      <c r="E1096" s="45" t="n"/>
      <c r="F1096" s="45" t="n"/>
    </row>
    <row r="1097">
      <c r="A1097" s="16">
        <f>IF($B1097="","",COUNTA($B$4:$B1097))</f>
        <v/>
      </c>
      <c r="B1097" s="72" t="n"/>
      <c r="C1097" s="40" t="n"/>
      <c r="D1097" s="47" t="n"/>
      <c r="E1097" s="47" t="n"/>
      <c r="F1097" s="47" t="n"/>
    </row>
    <row r="1098">
      <c r="A1098" s="16">
        <f>IF($B1098="","",COUNTA($B$4:$B1098))</f>
        <v/>
      </c>
      <c r="B1098" s="71" t="n"/>
      <c r="C1098" s="38" t="n"/>
      <c r="D1098" s="45" t="n"/>
      <c r="E1098" s="45" t="n"/>
      <c r="F1098" s="45" t="n"/>
    </row>
    <row r="1099">
      <c r="A1099" s="16">
        <f>IF($B1099="","",COUNTA($B$4:$B1099))</f>
        <v/>
      </c>
      <c r="B1099" s="72" t="n"/>
      <c r="C1099" s="40" t="n"/>
      <c r="D1099" s="47" t="n"/>
      <c r="E1099" s="47" t="n"/>
      <c r="F1099" s="47" t="n"/>
    </row>
    <row r="1100">
      <c r="A1100" s="16">
        <f>IF($B1100="","",COUNTA($B$4:$B1100))</f>
        <v/>
      </c>
      <c r="B1100" s="71" t="n"/>
      <c r="C1100" s="38" t="n"/>
      <c r="D1100" s="45" t="n"/>
      <c r="E1100" s="45" t="n"/>
      <c r="F1100" s="45" t="n"/>
    </row>
    <row r="1101">
      <c r="A1101" s="16">
        <f>IF($B1101="","",COUNTA($B$4:$B1101))</f>
        <v/>
      </c>
      <c r="B1101" s="72" t="n"/>
      <c r="C1101" s="40" t="n"/>
      <c r="D1101" s="47" t="n"/>
      <c r="E1101" s="47" t="n"/>
      <c r="F1101" s="47" t="n"/>
    </row>
    <row r="1102">
      <c r="A1102" s="16">
        <f>IF($B1102="","",COUNTA($B$4:$B1102))</f>
        <v/>
      </c>
      <c r="B1102" s="71" t="n"/>
      <c r="C1102" s="38" t="n"/>
      <c r="D1102" s="45" t="n"/>
      <c r="E1102" s="45" t="n"/>
      <c r="F1102" s="45" t="n"/>
    </row>
    <row r="1103">
      <c r="A1103" s="16">
        <f>IF($B1103="","",COUNTA($B$4:$B1103))</f>
        <v/>
      </c>
      <c r="B1103" s="72" t="n"/>
      <c r="C1103" s="40" t="n"/>
      <c r="D1103" s="47" t="n"/>
      <c r="E1103" s="47" t="n"/>
      <c r="F1103" s="47" t="n"/>
    </row>
    <row r="1104">
      <c r="A1104" s="16">
        <f>IF($B1104="","",COUNTA($B$4:$B1104))</f>
        <v/>
      </c>
      <c r="B1104" s="71" t="n"/>
      <c r="C1104" s="38" t="n"/>
      <c r="D1104" s="45" t="n"/>
      <c r="E1104" s="45" t="n"/>
      <c r="F1104" s="45" t="n"/>
    </row>
    <row r="1105">
      <c r="A1105" s="16">
        <f>IF($B1105="","",COUNTA($B$4:$B1105))</f>
        <v/>
      </c>
      <c r="B1105" s="72" t="n"/>
      <c r="C1105" s="40" t="n"/>
      <c r="D1105" s="47" t="n"/>
      <c r="E1105" s="47" t="n"/>
      <c r="F1105" s="47" t="n"/>
    </row>
    <row r="1106">
      <c r="A1106" s="16">
        <f>IF($B1106="","",COUNTA($B$4:$B1106))</f>
        <v/>
      </c>
      <c r="B1106" s="71" t="n"/>
      <c r="C1106" s="38" t="n"/>
      <c r="D1106" s="45" t="n"/>
      <c r="E1106" s="45" t="n"/>
      <c r="F1106" s="45" t="n"/>
    </row>
    <row r="1107">
      <c r="A1107" s="16">
        <f>IF($B1107="","",COUNTA($B$4:$B1107))</f>
        <v/>
      </c>
      <c r="B1107" s="72" t="n"/>
      <c r="C1107" s="40" t="n"/>
      <c r="D1107" s="47" t="n"/>
      <c r="E1107" s="47" t="n"/>
      <c r="F1107" s="47" t="n"/>
    </row>
    <row r="1108">
      <c r="A1108" s="16">
        <f>IF($B1108="","",COUNTA($B$4:$B1108))</f>
        <v/>
      </c>
      <c r="B1108" s="71" t="n"/>
      <c r="C1108" s="38" t="n"/>
      <c r="D1108" s="45" t="n"/>
      <c r="E1108" s="45" t="n"/>
      <c r="F1108" s="45" t="n"/>
    </row>
    <row r="1109">
      <c r="A1109" s="16">
        <f>IF($B1109="","",COUNTA($B$4:$B1109))</f>
        <v/>
      </c>
      <c r="B1109" s="72" t="n"/>
      <c r="C1109" s="40" t="n"/>
      <c r="D1109" s="47" t="n"/>
      <c r="E1109" s="47" t="n"/>
      <c r="F1109" s="47" t="n"/>
    </row>
    <row r="1110">
      <c r="A1110" s="16">
        <f>IF($B1110="","",COUNTA($B$4:$B1110))</f>
        <v/>
      </c>
      <c r="B1110" s="71" t="n"/>
      <c r="C1110" s="38" t="n"/>
      <c r="D1110" s="45" t="n"/>
      <c r="E1110" s="45" t="n"/>
      <c r="F1110" s="45" t="n"/>
    </row>
    <row r="1111">
      <c r="A1111" s="16">
        <f>IF($B1111="","",COUNTA($B$4:$B1111))</f>
        <v/>
      </c>
      <c r="B1111" s="72" t="n"/>
      <c r="C1111" s="40" t="n"/>
      <c r="D1111" s="47" t="n"/>
      <c r="E1111" s="47" t="n"/>
      <c r="F1111" s="47" t="n"/>
    </row>
    <row r="1112">
      <c r="A1112" s="16">
        <f>IF($B1112="","",COUNTA($B$4:$B1112))</f>
        <v/>
      </c>
      <c r="B1112" s="71" t="n"/>
      <c r="C1112" s="38" t="n"/>
      <c r="D1112" s="45" t="n"/>
      <c r="E1112" s="45" t="n"/>
      <c r="F1112" s="45" t="n"/>
    </row>
    <row r="1113">
      <c r="A1113" s="16">
        <f>IF($B1113="","",COUNTA($B$4:$B1113))</f>
        <v/>
      </c>
      <c r="B1113" s="72" t="n"/>
      <c r="C1113" s="40" t="n"/>
      <c r="D1113" s="47" t="n"/>
      <c r="E1113" s="47" t="n"/>
      <c r="F1113" s="47" t="n"/>
    </row>
    <row r="1114">
      <c r="A1114" s="16">
        <f>IF($B1114="","",COUNTA($B$4:$B1114))</f>
        <v/>
      </c>
      <c r="B1114" s="71" t="n"/>
      <c r="C1114" s="38" t="n"/>
      <c r="D1114" s="45" t="n"/>
      <c r="E1114" s="45" t="n"/>
      <c r="F1114" s="45" t="n"/>
    </row>
    <row r="1115">
      <c r="A1115" s="16">
        <f>IF($B1115="","",COUNTA($B$4:$B1115))</f>
        <v/>
      </c>
      <c r="B1115" s="72" t="n"/>
      <c r="C1115" s="40" t="n"/>
      <c r="D1115" s="47" t="n"/>
      <c r="E1115" s="47" t="n"/>
      <c r="F1115" s="47" t="n"/>
    </row>
    <row r="1116">
      <c r="A1116" s="16">
        <f>IF($B1116="","",COUNTA($B$4:$B1116))</f>
        <v/>
      </c>
      <c r="B1116" s="71" t="n"/>
      <c r="C1116" s="38" t="n"/>
      <c r="D1116" s="45" t="n"/>
      <c r="E1116" s="45" t="n"/>
      <c r="F1116" s="45" t="n"/>
    </row>
    <row r="1117">
      <c r="A1117" s="16">
        <f>IF($B1117="","",COUNTA($B$4:$B1117))</f>
        <v/>
      </c>
      <c r="B1117" s="72" t="n"/>
      <c r="C1117" s="40" t="n"/>
      <c r="D1117" s="47" t="n"/>
      <c r="E1117" s="47" t="n"/>
      <c r="F1117" s="47" t="n"/>
    </row>
    <row r="1118">
      <c r="A1118" s="16">
        <f>IF($B1118="","",COUNTA($B$4:$B1118))</f>
        <v/>
      </c>
      <c r="B1118" s="71" t="n"/>
      <c r="C1118" s="38" t="n"/>
      <c r="D1118" s="45" t="n"/>
      <c r="E1118" s="45" t="n"/>
      <c r="F1118" s="45" t="n"/>
    </row>
    <row r="1119">
      <c r="A1119" s="16">
        <f>IF($B1119="","",COUNTA($B$4:$B1119))</f>
        <v/>
      </c>
      <c r="B1119" s="72" t="n"/>
      <c r="C1119" s="40" t="n"/>
      <c r="D1119" s="47" t="n"/>
      <c r="E1119" s="47" t="n"/>
      <c r="F1119" s="47" t="n"/>
    </row>
    <row r="1120">
      <c r="A1120" s="16">
        <f>IF($B1120="","",COUNTA($B$4:$B1120))</f>
        <v/>
      </c>
      <c r="B1120" s="71" t="n"/>
      <c r="C1120" s="38" t="n"/>
      <c r="D1120" s="45" t="n"/>
      <c r="E1120" s="45" t="n"/>
      <c r="F1120" s="45" t="n"/>
    </row>
    <row r="1121">
      <c r="A1121" s="16">
        <f>IF($B1121="","",COUNTA($B$4:$B1121))</f>
        <v/>
      </c>
      <c r="B1121" s="72" t="n"/>
      <c r="C1121" s="40" t="n"/>
      <c r="D1121" s="47" t="n"/>
      <c r="E1121" s="47" t="n"/>
      <c r="F1121" s="47" t="n"/>
    </row>
    <row r="1122">
      <c r="A1122" s="16">
        <f>IF($B1122="","",COUNTA($B$4:$B1122))</f>
        <v/>
      </c>
      <c r="B1122" s="71" t="n"/>
      <c r="C1122" s="38" t="n"/>
      <c r="D1122" s="45" t="n"/>
      <c r="E1122" s="45" t="n"/>
      <c r="F1122" s="45" t="n"/>
    </row>
    <row r="1123">
      <c r="A1123" s="16">
        <f>IF($B1123="","",COUNTA($B$4:$B1123))</f>
        <v/>
      </c>
      <c r="B1123" s="72" t="n"/>
      <c r="C1123" s="40" t="n"/>
      <c r="D1123" s="47" t="n"/>
      <c r="E1123" s="47" t="n"/>
      <c r="F1123" s="47" t="n"/>
    </row>
    <row r="1124">
      <c r="A1124" s="16">
        <f>IF($B1124="","",COUNTA($B$4:$B1124))</f>
        <v/>
      </c>
      <c r="B1124" s="71" t="n"/>
      <c r="C1124" s="38" t="n"/>
      <c r="D1124" s="45" t="n"/>
      <c r="E1124" s="45" t="n"/>
      <c r="F1124" s="45" t="n"/>
    </row>
    <row r="1125">
      <c r="A1125" s="16">
        <f>IF($B1125="","",COUNTA($B$4:$B1125))</f>
        <v/>
      </c>
      <c r="B1125" s="72" t="n"/>
      <c r="C1125" s="40" t="n"/>
      <c r="D1125" s="47" t="n"/>
      <c r="E1125" s="47" t="n"/>
      <c r="F1125" s="47" t="n"/>
    </row>
    <row r="1126">
      <c r="A1126" s="16">
        <f>IF($B1126="","",COUNTA($B$4:$B1126))</f>
        <v/>
      </c>
      <c r="B1126" s="71" t="n"/>
      <c r="C1126" s="38" t="n"/>
      <c r="D1126" s="45" t="n"/>
      <c r="E1126" s="45" t="n"/>
      <c r="F1126" s="45" t="n"/>
    </row>
    <row r="1127">
      <c r="A1127" s="16">
        <f>IF($B1127="","",COUNTA($B$4:$B1127))</f>
        <v/>
      </c>
      <c r="B1127" s="72" t="n"/>
      <c r="C1127" s="40" t="n"/>
      <c r="D1127" s="47" t="n"/>
      <c r="E1127" s="47" t="n"/>
      <c r="F1127" s="47" t="n"/>
    </row>
    <row r="1128">
      <c r="A1128" s="16">
        <f>IF($B1128="","",COUNTA($B$4:$B1128))</f>
        <v/>
      </c>
      <c r="B1128" s="71" t="n"/>
      <c r="C1128" s="38" t="n"/>
      <c r="D1128" s="45" t="n"/>
      <c r="E1128" s="45" t="n"/>
      <c r="F1128" s="45" t="n"/>
    </row>
    <row r="1129">
      <c r="A1129" s="16">
        <f>IF($B1129="","",COUNTA($B$4:$B1129))</f>
        <v/>
      </c>
      <c r="B1129" s="72" t="n"/>
      <c r="C1129" s="40" t="n"/>
      <c r="D1129" s="47" t="n"/>
      <c r="E1129" s="47" t="n"/>
      <c r="F1129" s="47" t="n"/>
    </row>
    <row r="1130">
      <c r="A1130" s="16">
        <f>IF($B1130="","",COUNTA($B$4:$B1130))</f>
        <v/>
      </c>
      <c r="B1130" s="71" t="n"/>
      <c r="C1130" s="38" t="n"/>
      <c r="D1130" s="45" t="n"/>
      <c r="E1130" s="45" t="n"/>
      <c r="F1130" s="45" t="n"/>
    </row>
    <row r="1131">
      <c r="A1131" s="16">
        <f>IF($B1131="","",COUNTA($B$4:$B1131))</f>
        <v/>
      </c>
      <c r="B1131" s="72" t="n"/>
      <c r="C1131" s="40" t="n"/>
      <c r="D1131" s="47" t="n"/>
      <c r="E1131" s="47" t="n"/>
      <c r="F1131" s="47" t="n"/>
    </row>
    <row r="1132">
      <c r="A1132" s="16">
        <f>IF($B1132="","",COUNTA($B$4:$B1132))</f>
        <v/>
      </c>
      <c r="B1132" s="71" t="n"/>
      <c r="C1132" s="38" t="n"/>
      <c r="D1132" s="45" t="n"/>
      <c r="E1132" s="45" t="n"/>
      <c r="F1132" s="45" t="n"/>
    </row>
    <row r="1133">
      <c r="A1133" s="16">
        <f>IF($B1133="","",COUNTA($B$4:$B1133))</f>
        <v/>
      </c>
      <c r="B1133" s="72" t="n"/>
      <c r="C1133" s="40" t="n"/>
      <c r="D1133" s="47" t="n"/>
      <c r="E1133" s="47" t="n"/>
      <c r="F1133" s="47" t="n"/>
    </row>
    <row r="1134">
      <c r="A1134" s="16">
        <f>IF($B1134="","",COUNTA($B$4:$B1134))</f>
        <v/>
      </c>
      <c r="B1134" s="71" t="n"/>
      <c r="C1134" s="38" t="n"/>
      <c r="D1134" s="45" t="n"/>
      <c r="E1134" s="45" t="n"/>
      <c r="F1134" s="45" t="n"/>
    </row>
    <row r="1135">
      <c r="A1135" s="16">
        <f>IF($B1135="","",COUNTA($B$4:$B1135))</f>
        <v/>
      </c>
      <c r="B1135" s="72" t="n"/>
      <c r="C1135" s="40" t="n"/>
      <c r="D1135" s="47" t="n"/>
      <c r="E1135" s="47" t="n"/>
      <c r="F1135" s="47" t="n"/>
    </row>
    <row r="1136">
      <c r="A1136" s="16">
        <f>IF($B1136="","",COUNTA($B$4:$B1136))</f>
        <v/>
      </c>
      <c r="B1136" s="71" t="n"/>
      <c r="C1136" s="38" t="n"/>
      <c r="D1136" s="45" t="n"/>
      <c r="E1136" s="45" t="n"/>
      <c r="F1136" s="45" t="n"/>
    </row>
    <row r="1137">
      <c r="A1137" s="16">
        <f>IF($B1137="","",COUNTA($B$4:$B1137))</f>
        <v/>
      </c>
      <c r="B1137" s="72" t="n"/>
      <c r="C1137" s="40" t="n"/>
      <c r="D1137" s="47" t="n"/>
      <c r="E1137" s="47" t="n"/>
      <c r="F1137" s="47" t="n"/>
    </row>
    <row r="1138">
      <c r="A1138" s="16">
        <f>IF($B1138="","",COUNTA($B$4:$B1138))</f>
        <v/>
      </c>
      <c r="B1138" s="71" t="n"/>
      <c r="C1138" s="38" t="n"/>
      <c r="D1138" s="45" t="n"/>
      <c r="E1138" s="45" t="n"/>
      <c r="F1138" s="45" t="n"/>
    </row>
    <row r="1139">
      <c r="A1139" s="16">
        <f>IF($B1139="","",COUNTA($B$4:$B1139))</f>
        <v/>
      </c>
      <c r="B1139" s="72" t="n"/>
      <c r="C1139" s="40" t="n"/>
      <c r="D1139" s="47" t="n"/>
      <c r="E1139" s="47" t="n"/>
      <c r="F1139" s="47" t="n"/>
    </row>
    <row r="1140">
      <c r="A1140" s="16">
        <f>IF($B1140="","",COUNTA($B$4:$B1140))</f>
        <v/>
      </c>
      <c r="B1140" s="71" t="n"/>
      <c r="C1140" s="38" t="n"/>
      <c r="D1140" s="45" t="n"/>
      <c r="E1140" s="45" t="n"/>
      <c r="F1140" s="45" t="n"/>
    </row>
    <row r="1141">
      <c r="A1141" s="16">
        <f>IF($B1141="","",COUNTA($B$4:$B1141))</f>
        <v/>
      </c>
      <c r="B1141" s="72" t="n"/>
      <c r="C1141" s="40" t="n"/>
      <c r="D1141" s="47" t="n"/>
      <c r="E1141" s="47" t="n"/>
      <c r="F1141" s="47" t="n"/>
    </row>
    <row r="1142">
      <c r="A1142" s="16">
        <f>IF($B1142="","",COUNTA($B$4:$B1142))</f>
        <v/>
      </c>
      <c r="B1142" s="71" t="n"/>
      <c r="C1142" s="38" t="n"/>
      <c r="D1142" s="45" t="n"/>
      <c r="E1142" s="45" t="n"/>
      <c r="F1142" s="45" t="n"/>
    </row>
    <row r="1143">
      <c r="A1143" s="16">
        <f>IF($B1143="","",COUNTA($B$4:$B1143))</f>
        <v/>
      </c>
      <c r="B1143" s="72" t="n"/>
      <c r="C1143" s="40" t="n"/>
      <c r="D1143" s="47" t="n"/>
      <c r="E1143" s="47" t="n"/>
      <c r="F1143" s="47" t="n"/>
    </row>
    <row r="1144">
      <c r="A1144" s="16">
        <f>IF($B1144="","",COUNTA($B$4:$B1144))</f>
        <v/>
      </c>
      <c r="B1144" s="71" t="n"/>
      <c r="C1144" s="38" t="n"/>
      <c r="D1144" s="45" t="n"/>
      <c r="E1144" s="45" t="n"/>
      <c r="F1144" s="45" t="n"/>
    </row>
    <row r="1145">
      <c r="A1145" s="16">
        <f>IF($B1145="","",COUNTA($B$4:$B1145))</f>
        <v/>
      </c>
      <c r="B1145" s="72" t="n"/>
      <c r="C1145" s="40" t="n"/>
      <c r="D1145" s="47" t="n"/>
      <c r="E1145" s="47" t="n"/>
      <c r="F1145" s="47" t="n"/>
    </row>
    <row r="1146">
      <c r="A1146" s="16">
        <f>IF($B1146="","",COUNTA($B$4:$B1146))</f>
        <v/>
      </c>
      <c r="B1146" s="71" t="n"/>
      <c r="C1146" s="38" t="n"/>
      <c r="D1146" s="45" t="n"/>
      <c r="E1146" s="45" t="n"/>
      <c r="F1146" s="45" t="n"/>
    </row>
    <row r="1147">
      <c r="A1147" s="16">
        <f>IF($B1147="","",COUNTA($B$4:$B1147))</f>
        <v/>
      </c>
      <c r="B1147" s="72" t="n"/>
      <c r="C1147" s="40" t="n"/>
      <c r="D1147" s="47" t="n"/>
      <c r="E1147" s="47" t="n"/>
      <c r="F1147" s="47" t="n"/>
    </row>
    <row r="1148">
      <c r="A1148" s="16">
        <f>IF($B1148="","",COUNTA($B$4:$B1148))</f>
        <v/>
      </c>
      <c r="B1148" s="71" t="n"/>
      <c r="C1148" s="38" t="n"/>
      <c r="D1148" s="45" t="n"/>
      <c r="E1148" s="45" t="n"/>
      <c r="F1148" s="45" t="n"/>
    </row>
    <row r="1149">
      <c r="A1149" s="16">
        <f>IF($B1149="","",COUNTA($B$4:$B1149))</f>
        <v/>
      </c>
      <c r="B1149" s="72" t="n"/>
      <c r="C1149" s="40" t="n"/>
      <c r="D1149" s="47" t="n"/>
      <c r="E1149" s="47" t="n"/>
      <c r="F1149" s="47" t="n"/>
    </row>
    <row r="1150">
      <c r="A1150" s="16">
        <f>IF($B1150="","",COUNTA($B$4:$B1150))</f>
        <v/>
      </c>
      <c r="B1150" s="71" t="n"/>
      <c r="C1150" s="38" t="n"/>
      <c r="D1150" s="45" t="n"/>
      <c r="E1150" s="45" t="n"/>
      <c r="F1150" s="45" t="n"/>
    </row>
    <row r="1151">
      <c r="A1151" s="16">
        <f>IF($B1151="","",COUNTA($B$4:$B1151))</f>
        <v/>
      </c>
      <c r="B1151" s="72" t="n"/>
      <c r="C1151" s="40" t="n"/>
      <c r="D1151" s="47" t="n"/>
      <c r="E1151" s="47" t="n"/>
      <c r="F1151" s="47" t="n"/>
    </row>
    <row r="1152">
      <c r="A1152" s="16">
        <f>IF($B1152="","",COUNTA($B$4:$B1152))</f>
        <v/>
      </c>
      <c r="B1152" s="71" t="n"/>
      <c r="C1152" s="38" t="n"/>
      <c r="D1152" s="45" t="n"/>
      <c r="E1152" s="45" t="n"/>
      <c r="F1152" s="45" t="n"/>
    </row>
    <row r="1153">
      <c r="A1153" s="16">
        <f>IF($B1153="","",COUNTA($B$4:$B1153))</f>
        <v/>
      </c>
      <c r="B1153" s="72" t="n"/>
      <c r="C1153" s="40" t="n"/>
      <c r="D1153" s="47" t="n"/>
      <c r="E1153" s="47" t="n"/>
      <c r="F1153" s="47" t="n"/>
    </row>
    <row r="1154">
      <c r="A1154" s="16">
        <f>IF($B1154="","",COUNTA($B$4:$B1154))</f>
        <v/>
      </c>
      <c r="B1154" s="71" t="n"/>
      <c r="C1154" s="38" t="n"/>
      <c r="D1154" s="45" t="n"/>
      <c r="E1154" s="45" t="n"/>
      <c r="F1154" s="45" t="n"/>
    </row>
    <row r="1155">
      <c r="A1155" s="16">
        <f>IF($B1155="","",COUNTA($B$4:$B1155))</f>
        <v/>
      </c>
      <c r="B1155" s="72" t="n"/>
      <c r="C1155" s="40" t="n"/>
      <c r="D1155" s="47" t="n"/>
      <c r="E1155" s="47" t="n"/>
      <c r="F1155" s="47" t="n"/>
    </row>
    <row r="1156">
      <c r="A1156" s="16">
        <f>IF($B1156="","",COUNTA($B$4:$B1156))</f>
        <v/>
      </c>
      <c r="B1156" s="71" t="n"/>
      <c r="C1156" s="38" t="n"/>
      <c r="D1156" s="45" t="n"/>
      <c r="E1156" s="45" t="n"/>
      <c r="F1156" s="45" t="n"/>
    </row>
    <row r="1157">
      <c r="A1157" s="16">
        <f>IF($B1157="","",COUNTA($B$4:$B1157))</f>
        <v/>
      </c>
      <c r="B1157" s="72" t="n"/>
      <c r="C1157" s="40" t="n"/>
      <c r="D1157" s="47" t="n"/>
      <c r="E1157" s="47" t="n"/>
      <c r="F1157" s="47" t="n"/>
    </row>
    <row r="1158">
      <c r="A1158" s="16">
        <f>IF($B1158="","",COUNTA($B$4:$B1158))</f>
        <v/>
      </c>
      <c r="B1158" s="71" t="n"/>
      <c r="C1158" s="38" t="n"/>
      <c r="D1158" s="45" t="n"/>
      <c r="E1158" s="45" t="n"/>
      <c r="F1158" s="45" t="n"/>
    </row>
    <row r="1159">
      <c r="A1159" s="16">
        <f>IF($B1159="","",COUNTA($B$4:$B1159))</f>
        <v/>
      </c>
      <c r="B1159" s="72" t="n"/>
      <c r="C1159" s="40" t="n"/>
      <c r="D1159" s="47" t="n"/>
      <c r="E1159" s="47" t="n"/>
      <c r="F1159" s="47" t="n"/>
    </row>
    <row r="1160">
      <c r="A1160" s="16">
        <f>IF($B1160="","",COUNTA($B$4:$B1160))</f>
        <v/>
      </c>
      <c r="B1160" s="71" t="n"/>
      <c r="C1160" s="38" t="n"/>
      <c r="D1160" s="45" t="n"/>
      <c r="E1160" s="45" t="n"/>
      <c r="F1160" s="45" t="n"/>
    </row>
    <row r="1161">
      <c r="A1161" s="16">
        <f>IF($B1161="","",COUNTA($B$4:$B1161))</f>
        <v/>
      </c>
      <c r="B1161" s="72" t="n"/>
      <c r="C1161" s="40" t="n"/>
      <c r="D1161" s="47" t="n"/>
      <c r="E1161" s="47" t="n"/>
      <c r="F1161" s="47" t="n"/>
    </row>
    <row r="1162">
      <c r="A1162" s="16">
        <f>IF($B1162="","",COUNTA($B$4:$B1162))</f>
        <v/>
      </c>
      <c r="B1162" s="71" t="n"/>
      <c r="C1162" s="38" t="n"/>
      <c r="D1162" s="45" t="n"/>
      <c r="E1162" s="45" t="n"/>
      <c r="F1162" s="45" t="n"/>
    </row>
    <row r="1163">
      <c r="A1163" s="16">
        <f>IF($B1163="","",COUNTA($B$4:$B1163))</f>
        <v/>
      </c>
      <c r="B1163" s="72" t="n"/>
      <c r="C1163" s="40" t="n"/>
      <c r="D1163" s="47" t="n"/>
      <c r="E1163" s="47" t="n"/>
      <c r="F1163" s="47" t="n"/>
    </row>
    <row r="1164">
      <c r="A1164" s="16">
        <f>IF($B1164="","",COUNTA($B$4:$B1164))</f>
        <v/>
      </c>
      <c r="B1164" s="71" t="n"/>
      <c r="C1164" s="38" t="n"/>
      <c r="D1164" s="45" t="n"/>
      <c r="E1164" s="45" t="n"/>
      <c r="F1164" s="45" t="n"/>
    </row>
    <row r="1165">
      <c r="A1165" s="16">
        <f>IF($B1165="","",COUNTA($B$4:$B1165))</f>
        <v/>
      </c>
      <c r="B1165" s="72" t="n"/>
      <c r="C1165" s="40" t="n"/>
      <c r="D1165" s="47" t="n"/>
      <c r="E1165" s="47" t="n"/>
      <c r="F1165" s="47" t="n"/>
    </row>
    <row r="1166">
      <c r="A1166" s="16">
        <f>IF($B1166="","",COUNTA($B$4:$B1166))</f>
        <v/>
      </c>
      <c r="B1166" s="71" t="n"/>
      <c r="C1166" s="38" t="n"/>
      <c r="D1166" s="45" t="n"/>
      <c r="E1166" s="45" t="n"/>
      <c r="F1166" s="45" t="n"/>
    </row>
    <row r="1167">
      <c r="A1167" s="16">
        <f>IF($B1167="","",COUNTA($B$4:$B1167))</f>
        <v/>
      </c>
      <c r="B1167" s="72" t="n"/>
      <c r="C1167" s="40" t="n"/>
      <c r="D1167" s="47" t="n"/>
      <c r="E1167" s="47" t="n"/>
      <c r="F1167" s="47" t="n"/>
    </row>
    <row r="1168">
      <c r="A1168" s="16">
        <f>IF($B1168="","",COUNTA($B$4:$B1168))</f>
        <v/>
      </c>
      <c r="B1168" s="71" t="n"/>
      <c r="C1168" s="38" t="n"/>
      <c r="D1168" s="45" t="n"/>
      <c r="E1168" s="45" t="n"/>
      <c r="F1168" s="45" t="n"/>
    </row>
    <row r="1169">
      <c r="A1169" s="16">
        <f>IF($B1169="","",COUNTA($B$4:$B1169))</f>
        <v/>
      </c>
      <c r="B1169" s="72" t="n"/>
      <c r="C1169" s="40" t="n"/>
      <c r="D1169" s="47" t="n"/>
      <c r="E1169" s="47" t="n"/>
      <c r="F1169" s="47" t="n"/>
    </row>
    <row r="1170">
      <c r="A1170" s="16">
        <f>IF($B1170="","",COUNTA($B$4:$B1170))</f>
        <v/>
      </c>
      <c r="B1170" s="71" t="n"/>
      <c r="C1170" s="38" t="n"/>
      <c r="D1170" s="45" t="n"/>
      <c r="E1170" s="45" t="n"/>
      <c r="F1170" s="45" t="n"/>
    </row>
    <row r="1171">
      <c r="A1171" s="16">
        <f>IF($B1171="","",COUNTA($B$4:$B1171))</f>
        <v/>
      </c>
      <c r="B1171" s="72" t="n"/>
      <c r="C1171" s="40" t="n"/>
      <c r="D1171" s="47" t="n"/>
      <c r="E1171" s="47" t="n"/>
      <c r="F1171" s="47" t="n"/>
    </row>
    <row r="1172">
      <c r="A1172" s="16">
        <f>IF($B1172="","",COUNTA($B$4:$B1172))</f>
        <v/>
      </c>
      <c r="B1172" s="71" t="n"/>
      <c r="C1172" s="38" t="n"/>
      <c r="D1172" s="45" t="n"/>
      <c r="E1172" s="45" t="n"/>
      <c r="F1172" s="45" t="n"/>
    </row>
    <row r="1173">
      <c r="A1173" s="16">
        <f>IF($B1173="","",COUNTA($B$4:$B1173))</f>
        <v/>
      </c>
      <c r="B1173" s="72" t="n"/>
      <c r="C1173" s="40" t="n"/>
      <c r="D1173" s="47" t="n"/>
      <c r="E1173" s="47" t="n"/>
      <c r="F1173" s="47" t="n"/>
    </row>
    <row r="1174">
      <c r="A1174" s="16">
        <f>IF($B1174="","",COUNTA($B$4:$B1174))</f>
        <v/>
      </c>
      <c r="B1174" s="71" t="n"/>
      <c r="C1174" s="38" t="n"/>
      <c r="D1174" s="45" t="n"/>
      <c r="E1174" s="45" t="n"/>
      <c r="F1174" s="45" t="n"/>
    </row>
    <row r="1175">
      <c r="A1175" s="16">
        <f>IF($B1175="","",COUNTA($B$4:$B1175))</f>
        <v/>
      </c>
      <c r="B1175" s="72" t="n"/>
      <c r="C1175" s="40" t="n"/>
      <c r="D1175" s="47" t="n"/>
      <c r="E1175" s="47" t="n"/>
      <c r="F1175" s="47" t="n"/>
    </row>
    <row r="1176">
      <c r="A1176" s="16">
        <f>IF($B1176="","",COUNTA($B$4:$B1176))</f>
        <v/>
      </c>
      <c r="B1176" s="71" t="n"/>
      <c r="C1176" s="38" t="n"/>
      <c r="D1176" s="45" t="n"/>
      <c r="E1176" s="45" t="n"/>
      <c r="F1176" s="45" t="n"/>
    </row>
    <row r="1177">
      <c r="A1177" s="16">
        <f>IF($B1177="","",COUNTA($B$4:$B1177))</f>
        <v/>
      </c>
      <c r="B1177" s="72" t="n"/>
      <c r="C1177" s="40" t="n"/>
      <c r="D1177" s="47" t="n"/>
      <c r="E1177" s="47" t="n"/>
      <c r="F1177" s="47" t="n"/>
    </row>
    <row r="1178">
      <c r="A1178" s="16">
        <f>IF($B1178="","",COUNTA($B$4:$B1178))</f>
        <v/>
      </c>
      <c r="B1178" s="71" t="n"/>
      <c r="C1178" s="38" t="n"/>
      <c r="D1178" s="45" t="n"/>
      <c r="E1178" s="45" t="n"/>
      <c r="F1178" s="45" t="n"/>
    </row>
    <row r="1179">
      <c r="A1179" s="16">
        <f>IF($B1179="","",COUNTA($B$4:$B1179))</f>
        <v/>
      </c>
      <c r="B1179" s="72" t="n"/>
      <c r="C1179" s="40" t="n"/>
      <c r="D1179" s="47" t="n"/>
      <c r="E1179" s="47" t="n"/>
      <c r="F1179" s="47" t="n"/>
    </row>
    <row r="1180">
      <c r="A1180" s="16">
        <f>IF($B1180="","",COUNTA($B$4:$B1180))</f>
        <v/>
      </c>
      <c r="B1180" s="71" t="n"/>
      <c r="C1180" s="38" t="n"/>
      <c r="D1180" s="45" t="n"/>
      <c r="E1180" s="45" t="n"/>
      <c r="F1180" s="45" t="n"/>
    </row>
    <row r="1181">
      <c r="A1181" s="16">
        <f>IF($B1181="","",COUNTA($B$4:$B1181))</f>
        <v/>
      </c>
      <c r="B1181" s="72" t="n"/>
      <c r="C1181" s="40" t="n"/>
      <c r="D1181" s="47" t="n"/>
      <c r="E1181" s="47" t="n"/>
      <c r="F1181" s="47" t="n"/>
    </row>
    <row r="1182">
      <c r="A1182" s="16">
        <f>IF($B1182="","",COUNTA($B$4:$B1182))</f>
        <v/>
      </c>
      <c r="B1182" s="71" t="n"/>
      <c r="C1182" s="38" t="n"/>
      <c r="D1182" s="45" t="n"/>
      <c r="E1182" s="45" t="n"/>
      <c r="F1182" s="45" t="n"/>
    </row>
    <row r="1183">
      <c r="A1183" s="16">
        <f>IF($B1183="","",COUNTA($B$4:$B1183))</f>
        <v/>
      </c>
      <c r="B1183" s="72" t="n"/>
      <c r="C1183" s="40" t="n"/>
      <c r="D1183" s="47" t="n"/>
      <c r="E1183" s="47" t="n"/>
      <c r="F1183" s="47" t="n"/>
    </row>
    <row r="1184">
      <c r="A1184" s="16">
        <f>IF($B1184="","",COUNTA($B$4:$B1184))</f>
        <v/>
      </c>
      <c r="B1184" s="71" t="n"/>
      <c r="C1184" s="38" t="n"/>
      <c r="D1184" s="45" t="n"/>
      <c r="E1184" s="45" t="n"/>
      <c r="F1184" s="45" t="n"/>
    </row>
    <row r="1185">
      <c r="A1185" s="16">
        <f>IF($B1185="","",COUNTA($B$4:$B1185))</f>
        <v/>
      </c>
      <c r="B1185" s="72" t="n"/>
      <c r="C1185" s="40" t="n"/>
      <c r="D1185" s="47" t="n"/>
      <c r="E1185" s="47" t="n"/>
      <c r="F1185" s="47" t="n"/>
    </row>
    <row r="1186">
      <c r="A1186" s="16">
        <f>IF($B1186="","",COUNTA($B$4:$B1186))</f>
        <v/>
      </c>
      <c r="B1186" s="71" t="n"/>
      <c r="C1186" s="38" t="n"/>
      <c r="D1186" s="45" t="n"/>
      <c r="E1186" s="45" t="n"/>
      <c r="F1186" s="45" t="n"/>
    </row>
    <row r="1187">
      <c r="A1187" s="16">
        <f>IF($B1187="","",COUNTA($B$4:$B1187))</f>
        <v/>
      </c>
      <c r="B1187" s="72" t="n"/>
      <c r="C1187" s="40" t="n"/>
      <c r="D1187" s="47" t="n"/>
      <c r="E1187" s="47" t="n"/>
      <c r="F1187" s="47" t="n"/>
    </row>
    <row r="1188">
      <c r="A1188" s="16">
        <f>IF($B1188="","",COUNTA($B$4:$B1188))</f>
        <v/>
      </c>
      <c r="B1188" s="71" t="n"/>
      <c r="C1188" s="38" t="n"/>
      <c r="D1188" s="45" t="n"/>
      <c r="E1188" s="45" t="n"/>
      <c r="F1188" s="45" t="n"/>
    </row>
    <row r="1189">
      <c r="A1189" s="16">
        <f>IF($B1189="","",COUNTA($B$4:$B1189))</f>
        <v/>
      </c>
      <c r="B1189" s="72" t="n"/>
      <c r="C1189" s="40" t="n"/>
      <c r="D1189" s="47" t="n"/>
      <c r="E1189" s="47" t="n"/>
      <c r="F1189" s="47" t="n"/>
    </row>
    <row r="1190">
      <c r="A1190" s="16">
        <f>IF($B1190="","",COUNTA($B$4:$B1190))</f>
        <v/>
      </c>
      <c r="B1190" s="71" t="n"/>
      <c r="C1190" s="38" t="n"/>
      <c r="D1190" s="45" t="n"/>
      <c r="E1190" s="45" t="n"/>
      <c r="F1190" s="45" t="n"/>
    </row>
    <row r="1191">
      <c r="A1191" s="16">
        <f>IF($B1191="","",COUNTA($B$4:$B1191))</f>
        <v/>
      </c>
      <c r="B1191" s="72" t="n"/>
      <c r="C1191" s="40" t="n"/>
      <c r="D1191" s="47" t="n"/>
      <c r="E1191" s="47" t="n"/>
      <c r="F1191" s="47" t="n"/>
    </row>
    <row r="1192">
      <c r="A1192" s="16">
        <f>IF($B1192="","",COUNTA($B$4:$B1192))</f>
        <v/>
      </c>
      <c r="B1192" s="71" t="n"/>
      <c r="C1192" s="38" t="n"/>
      <c r="D1192" s="45" t="n"/>
      <c r="E1192" s="45" t="n"/>
      <c r="F1192" s="45" t="n"/>
    </row>
    <row r="1193">
      <c r="A1193" s="16">
        <f>IF($B1193="","",COUNTA($B$4:$B1193))</f>
        <v/>
      </c>
      <c r="B1193" s="72" t="n"/>
      <c r="C1193" s="40" t="n"/>
      <c r="D1193" s="47" t="n"/>
      <c r="E1193" s="47" t="n"/>
      <c r="F1193" s="47" t="n"/>
    </row>
    <row r="1194">
      <c r="A1194" s="16">
        <f>IF($B1194="","",COUNTA($B$4:$B1194))</f>
        <v/>
      </c>
      <c r="B1194" s="71" t="n"/>
      <c r="C1194" s="38" t="n"/>
      <c r="D1194" s="45" t="n"/>
      <c r="E1194" s="45" t="n"/>
      <c r="F1194" s="45" t="n"/>
    </row>
    <row r="1195">
      <c r="A1195" s="16">
        <f>IF($B1195="","",COUNTA($B$4:$B1195))</f>
        <v/>
      </c>
      <c r="B1195" s="72" t="n"/>
      <c r="C1195" s="40" t="n"/>
      <c r="D1195" s="47" t="n"/>
      <c r="E1195" s="47" t="n"/>
      <c r="F1195" s="47" t="n"/>
    </row>
    <row r="1196">
      <c r="A1196" s="16">
        <f>IF($B1196="","",COUNTA($B$4:$B1196))</f>
        <v/>
      </c>
      <c r="B1196" s="71" t="n"/>
      <c r="C1196" s="38" t="n"/>
      <c r="D1196" s="45" t="n"/>
      <c r="E1196" s="45" t="n"/>
      <c r="F1196" s="45" t="n"/>
    </row>
    <row r="1197">
      <c r="A1197" s="16">
        <f>IF($B1197="","",COUNTA($B$4:$B1197))</f>
        <v/>
      </c>
      <c r="B1197" s="72" t="n"/>
      <c r="C1197" s="40" t="n"/>
      <c r="D1197" s="47" t="n"/>
      <c r="E1197" s="47" t="n"/>
      <c r="F1197" s="47" t="n"/>
    </row>
    <row r="1198">
      <c r="A1198" s="16">
        <f>IF($B1198="","",COUNTA($B$4:$B1198))</f>
        <v/>
      </c>
      <c r="B1198" s="71" t="n"/>
      <c r="C1198" s="38" t="n"/>
      <c r="D1198" s="45" t="n"/>
      <c r="E1198" s="45" t="n"/>
      <c r="F1198" s="45" t="n"/>
    </row>
    <row r="1199">
      <c r="A1199" s="16">
        <f>IF($B1199="","",COUNTA($B$4:$B1199))</f>
        <v/>
      </c>
      <c r="B1199" s="72" t="n"/>
      <c r="C1199" s="40" t="n"/>
      <c r="D1199" s="47" t="n"/>
      <c r="E1199" s="47" t="n"/>
      <c r="F1199" s="47" t="n"/>
    </row>
    <row r="1200">
      <c r="A1200" s="16">
        <f>IF($B1200="","",COUNTA($B$4:$B1200))</f>
        <v/>
      </c>
      <c r="B1200" s="71" t="n"/>
      <c r="C1200" s="38" t="n"/>
      <c r="D1200" s="45" t="n"/>
      <c r="E1200" s="45" t="n"/>
      <c r="F1200" s="45" t="n"/>
    </row>
    <row r="1201">
      <c r="A1201" s="16">
        <f>IF($B1201="","",COUNTA($B$4:$B1201))</f>
        <v/>
      </c>
      <c r="B1201" s="72" t="n"/>
      <c r="C1201" s="40" t="n"/>
      <c r="D1201" s="47" t="n"/>
      <c r="E1201" s="47" t="n"/>
      <c r="F1201" s="47" t="n"/>
    </row>
    <row r="1202">
      <c r="A1202" s="16">
        <f>IF($B1202="","",COUNTA($B$4:$B1202))</f>
        <v/>
      </c>
      <c r="B1202" s="71" t="n"/>
      <c r="C1202" s="38" t="n"/>
      <c r="D1202" s="45" t="n"/>
      <c r="E1202" s="45" t="n"/>
      <c r="F1202" s="45" t="n"/>
    </row>
    <row r="1203">
      <c r="A1203" s="16">
        <f>IF($B1203="","",COUNTA($B$4:$B1203))</f>
        <v/>
      </c>
      <c r="B1203" s="72" t="n"/>
      <c r="C1203" s="40" t="n"/>
      <c r="D1203" s="47" t="n"/>
      <c r="E1203" s="47" t="n"/>
      <c r="F1203" s="47" t="n"/>
    </row>
    <row r="1204">
      <c r="A1204" s="16">
        <f>IF($B1204="","",COUNTA($B$4:$B1204))</f>
        <v/>
      </c>
      <c r="B1204" s="71" t="n"/>
      <c r="C1204" s="38" t="n"/>
      <c r="D1204" s="45" t="n"/>
      <c r="E1204" s="45" t="n"/>
      <c r="F1204" s="45" t="n"/>
    </row>
    <row r="1205">
      <c r="A1205" s="16">
        <f>IF($B1205="","",COUNTA($B$4:$B1205))</f>
        <v/>
      </c>
      <c r="B1205" s="72" t="n"/>
      <c r="C1205" s="40" t="n"/>
      <c r="D1205" s="47" t="n"/>
      <c r="E1205" s="47" t="n"/>
      <c r="F1205" s="47" t="n"/>
    </row>
    <row r="1206">
      <c r="A1206" s="16">
        <f>IF($B1206="","",COUNTA($B$4:$B1206))</f>
        <v/>
      </c>
      <c r="B1206" s="71" t="n"/>
      <c r="C1206" s="38" t="n"/>
      <c r="D1206" s="45" t="n"/>
      <c r="E1206" s="45" t="n"/>
      <c r="F1206" s="45" t="n"/>
    </row>
    <row r="1207">
      <c r="A1207" s="16">
        <f>IF($B1207="","",COUNTA($B$4:$B1207))</f>
        <v/>
      </c>
      <c r="B1207" s="72" t="n"/>
      <c r="C1207" s="40" t="n"/>
      <c r="D1207" s="47" t="n"/>
      <c r="E1207" s="47" t="n"/>
      <c r="F1207" s="47" t="n"/>
    </row>
    <row r="1208">
      <c r="A1208" s="16">
        <f>IF($B1208="","",COUNTA($B$4:$B1208))</f>
        <v/>
      </c>
      <c r="B1208" s="71" t="n"/>
      <c r="C1208" s="38" t="n"/>
      <c r="D1208" s="45" t="n"/>
      <c r="E1208" s="45" t="n"/>
      <c r="F1208" s="45" t="n"/>
    </row>
    <row r="1209">
      <c r="A1209" s="16">
        <f>IF($B1209="","",COUNTA($B$4:$B1209))</f>
        <v/>
      </c>
      <c r="B1209" s="72" t="n"/>
      <c r="C1209" s="40" t="n"/>
      <c r="D1209" s="47" t="n"/>
      <c r="E1209" s="47" t="n"/>
      <c r="F1209" s="47" t="n"/>
    </row>
    <row r="1210">
      <c r="A1210" s="16">
        <f>IF($B1210="","",COUNTA($B$4:$B1210))</f>
        <v/>
      </c>
      <c r="B1210" s="71" t="n"/>
      <c r="C1210" s="38" t="n"/>
      <c r="D1210" s="45" t="n"/>
      <c r="E1210" s="45" t="n"/>
      <c r="F1210" s="45" t="n"/>
    </row>
    <row r="1211">
      <c r="A1211" s="16">
        <f>IF($B1211="","",COUNTA($B$4:$B1211))</f>
        <v/>
      </c>
      <c r="B1211" s="72" t="n"/>
      <c r="C1211" s="40" t="n"/>
      <c r="D1211" s="47" t="n"/>
      <c r="E1211" s="47" t="n"/>
      <c r="F1211" s="47" t="n"/>
    </row>
    <row r="1212">
      <c r="A1212" s="16">
        <f>IF($B1212="","",COUNTA($B$4:$B1212))</f>
        <v/>
      </c>
      <c r="B1212" s="71" t="n"/>
      <c r="C1212" s="38" t="n"/>
      <c r="D1212" s="45" t="n"/>
      <c r="E1212" s="45" t="n"/>
      <c r="F1212" s="45" t="n"/>
    </row>
    <row r="1213">
      <c r="A1213" s="16">
        <f>IF($B1213="","",COUNTA($B$4:$B1213))</f>
        <v/>
      </c>
      <c r="B1213" s="72" t="n"/>
      <c r="C1213" s="40" t="n"/>
      <c r="D1213" s="47" t="n"/>
      <c r="E1213" s="47" t="n"/>
      <c r="F1213" s="47" t="n"/>
    </row>
    <row r="1214">
      <c r="A1214" s="16">
        <f>IF($B1214="","",COUNTA($B$4:$B1214))</f>
        <v/>
      </c>
      <c r="B1214" s="71" t="n"/>
      <c r="C1214" s="38" t="n"/>
      <c r="D1214" s="45" t="n"/>
      <c r="E1214" s="45" t="n"/>
      <c r="F1214" s="45" t="n"/>
    </row>
    <row r="1215">
      <c r="A1215" s="16">
        <f>IF($B1215="","",COUNTA($B$4:$B1215))</f>
        <v/>
      </c>
      <c r="B1215" s="72" t="n"/>
      <c r="C1215" s="40" t="n"/>
      <c r="D1215" s="47" t="n"/>
      <c r="E1215" s="47" t="n"/>
      <c r="F1215" s="47" t="n"/>
    </row>
    <row r="1216">
      <c r="A1216" s="16">
        <f>IF($B1216="","",COUNTA($B$4:$B1216))</f>
        <v/>
      </c>
      <c r="B1216" s="71" t="n"/>
      <c r="C1216" s="38" t="n"/>
      <c r="D1216" s="45" t="n"/>
      <c r="E1216" s="45" t="n"/>
      <c r="F1216" s="45" t="n"/>
    </row>
    <row r="1217">
      <c r="A1217" s="16">
        <f>IF($B1217="","",COUNTA($B$4:$B1217))</f>
        <v/>
      </c>
      <c r="B1217" s="72" t="n"/>
      <c r="C1217" s="40" t="n"/>
      <c r="D1217" s="47" t="n"/>
      <c r="E1217" s="47" t="n"/>
      <c r="F1217" s="47" t="n"/>
    </row>
    <row r="1218">
      <c r="A1218" s="16">
        <f>IF($B1218="","",COUNTA($B$4:$B1218))</f>
        <v/>
      </c>
      <c r="B1218" s="71" t="n"/>
      <c r="C1218" s="38" t="n"/>
      <c r="D1218" s="45" t="n"/>
      <c r="E1218" s="45" t="n"/>
      <c r="F1218" s="45" t="n"/>
    </row>
    <row r="1219">
      <c r="A1219" s="16">
        <f>IF($B1219="","",COUNTA($B$4:$B1219))</f>
        <v/>
      </c>
      <c r="B1219" s="72" t="n"/>
      <c r="C1219" s="40" t="n"/>
      <c r="D1219" s="47" t="n"/>
      <c r="E1219" s="47" t="n"/>
      <c r="F1219" s="47" t="n"/>
    </row>
    <row r="1220">
      <c r="A1220" s="16">
        <f>IF($B1220="","",COUNTA($B$4:$B1220))</f>
        <v/>
      </c>
      <c r="B1220" s="71" t="n"/>
      <c r="C1220" s="38" t="n"/>
      <c r="D1220" s="45" t="n"/>
      <c r="E1220" s="45" t="n"/>
      <c r="F1220" s="45" t="n"/>
    </row>
    <row r="1221">
      <c r="A1221" s="16">
        <f>IF($B1221="","",COUNTA($B$4:$B1221))</f>
        <v/>
      </c>
      <c r="B1221" s="72" t="n"/>
      <c r="C1221" s="40" t="n"/>
      <c r="D1221" s="47" t="n"/>
      <c r="E1221" s="47" t="n"/>
      <c r="F1221" s="47" t="n"/>
    </row>
    <row r="1222">
      <c r="A1222" s="16">
        <f>IF($B1222="","",COUNTA($B$4:$B1222))</f>
        <v/>
      </c>
      <c r="B1222" s="71" t="n"/>
      <c r="C1222" s="38" t="n"/>
      <c r="D1222" s="45" t="n"/>
      <c r="E1222" s="45" t="n"/>
      <c r="F1222" s="45" t="n"/>
    </row>
    <row r="1223">
      <c r="A1223" s="16">
        <f>IF($B1223="","",COUNTA($B$4:$B1223))</f>
        <v/>
      </c>
      <c r="B1223" s="72" t="n"/>
      <c r="C1223" s="40" t="n"/>
      <c r="D1223" s="47" t="n"/>
      <c r="E1223" s="47" t="n"/>
      <c r="F1223" s="47" t="n"/>
    </row>
    <row r="1224">
      <c r="A1224" s="16">
        <f>IF($B1224="","",COUNTA($B$4:$B1224))</f>
        <v/>
      </c>
      <c r="B1224" s="71" t="n"/>
      <c r="C1224" s="38" t="n"/>
      <c r="D1224" s="45" t="n"/>
      <c r="E1224" s="45" t="n"/>
      <c r="F1224" s="45" t="n"/>
    </row>
    <row r="1225">
      <c r="A1225" s="16">
        <f>IF($B1225="","",COUNTA($B$4:$B1225))</f>
        <v/>
      </c>
      <c r="B1225" s="72" t="n"/>
      <c r="C1225" s="40" t="n"/>
      <c r="D1225" s="47" t="n"/>
      <c r="E1225" s="47" t="n"/>
      <c r="F1225" s="47" t="n"/>
    </row>
    <row r="1226">
      <c r="A1226" s="16">
        <f>IF($B1226="","",COUNTA($B$4:$B1226))</f>
        <v/>
      </c>
      <c r="B1226" s="71" t="n"/>
      <c r="C1226" s="38" t="n"/>
      <c r="D1226" s="45" t="n"/>
      <c r="E1226" s="45" t="n"/>
      <c r="F1226" s="45" t="n"/>
    </row>
    <row r="1227">
      <c r="A1227" s="16">
        <f>IF($B1227="","",COUNTA($B$4:$B1227))</f>
        <v/>
      </c>
      <c r="B1227" s="72" t="n"/>
      <c r="C1227" s="40" t="n"/>
      <c r="D1227" s="47" t="n"/>
      <c r="E1227" s="47" t="n"/>
      <c r="F1227" s="47" t="n"/>
    </row>
    <row r="1228">
      <c r="A1228" s="16">
        <f>IF($B1228="","",COUNTA($B$4:$B1228))</f>
        <v/>
      </c>
      <c r="B1228" s="71" t="n"/>
      <c r="C1228" s="38" t="n"/>
      <c r="D1228" s="45" t="n"/>
      <c r="E1228" s="45" t="n"/>
      <c r="F1228" s="45" t="n"/>
    </row>
    <row r="1229">
      <c r="A1229" s="16">
        <f>IF($B1229="","",COUNTA($B$4:$B1229))</f>
        <v/>
      </c>
      <c r="B1229" s="72" t="n"/>
      <c r="C1229" s="40" t="n"/>
      <c r="D1229" s="47" t="n"/>
      <c r="E1229" s="47" t="n"/>
      <c r="F1229" s="47" t="n"/>
    </row>
    <row r="1230">
      <c r="A1230" s="16">
        <f>IF($B1230="","",COUNTA($B$4:$B1230))</f>
        <v/>
      </c>
      <c r="B1230" s="71" t="n"/>
      <c r="C1230" s="38" t="n"/>
      <c r="D1230" s="45" t="n"/>
      <c r="E1230" s="45" t="n"/>
      <c r="F1230" s="45" t="n"/>
    </row>
    <row r="1231">
      <c r="A1231" s="16">
        <f>IF($B1231="","",COUNTA($B$4:$B1231))</f>
        <v/>
      </c>
      <c r="B1231" s="72" t="n"/>
      <c r="C1231" s="40" t="n"/>
      <c r="D1231" s="47" t="n"/>
      <c r="E1231" s="47" t="n"/>
      <c r="F1231" s="47" t="n"/>
    </row>
    <row r="1232">
      <c r="A1232" s="16">
        <f>IF($B1232="","",COUNTA($B$4:$B1232))</f>
        <v/>
      </c>
      <c r="B1232" s="71" t="n"/>
      <c r="C1232" s="38" t="n"/>
      <c r="D1232" s="45" t="n"/>
      <c r="E1232" s="45" t="n"/>
      <c r="F1232" s="45" t="n"/>
    </row>
    <row r="1233">
      <c r="A1233" s="16">
        <f>IF($B1233="","",COUNTA($B$4:$B1233))</f>
        <v/>
      </c>
      <c r="B1233" s="72" t="n"/>
      <c r="C1233" s="40" t="n"/>
      <c r="D1233" s="47" t="n"/>
      <c r="E1233" s="47" t="n"/>
      <c r="F1233" s="47" t="n"/>
    </row>
    <row r="1234">
      <c r="A1234" s="16">
        <f>IF($B1234="","",COUNTA($B$4:$B1234))</f>
        <v/>
      </c>
      <c r="B1234" s="71" t="n"/>
      <c r="C1234" s="38" t="n"/>
      <c r="D1234" s="45" t="n"/>
      <c r="E1234" s="45" t="n"/>
      <c r="F1234" s="45" t="n"/>
    </row>
    <row r="1235">
      <c r="A1235" s="16">
        <f>IF($B1235="","",COUNTA($B$4:$B1235))</f>
        <v/>
      </c>
      <c r="B1235" s="72" t="n"/>
      <c r="C1235" s="40" t="n"/>
      <c r="D1235" s="47" t="n"/>
      <c r="E1235" s="47" t="n"/>
      <c r="F1235" s="47" t="n"/>
    </row>
    <row r="1236">
      <c r="A1236" s="16">
        <f>IF($B1236="","",COUNTA($B$4:$B1236))</f>
        <v/>
      </c>
      <c r="B1236" s="71" t="n"/>
      <c r="C1236" s="38" t="n"/>
      <c r="D1236" s="45" t="n"/>
      <c r="E1236" s="45" t="n"/>
      <c r="F1236" s="45" t="n"/>
    </row>
    <row r="1237">
      <c r="A1237" s="16">
        <f>IF($B1237="","",COUNTA($B$4:$B1237))</f>
        <v/>
      </c>
      <c r="B1237" s="72" t="n"/>
      <c r="C1237" s="40" t="n"/>
      <c r="D1237" s="47" t="n"/>
      <c r="E1237" s="47" t="n"/>
      <c r="F1237" s="47" t="n"/>
    </row>
    <row r="1238">
      <c r="A1238" s="16">
        <f>IF($B1238="","",COUNTA($B$4:$B1238))</f>
        <v/>
      </c>
      <c r="B1238" s="71" t="n"/>
      <c r="C1238" s="38" t="n"/>
      <c r="D1238" s="45" t="n"/>
      <c r="E1238" s="45" t="n"/>
      <c r="F1238" s="45" t="n"/>
    </row>
    <row r="1239">
      <c r="A1239" s="16">
        <f>IF($B1239="","",COUNTA($B$4:$B1239))</f>
        <v/>
      </c>
      <c r="B1239" s="72" t="n"/>
      <c r="C1239" s="40" t="n"/>
      <c r="D1239" s="47" t="n"/>
      <c r="E1239" s="47" t="n"/>
      <c r="F1239" s="47" t="n"/>
    </row>
    <row r="1240">
      <c r="A1240" s="16">
        <f>IF($B1240="","",COUNTA($B$4:$B1240))</f>
        <v/>
      </c>
      <c r="B1240" s="71" t="n"/>
      <c r="C1240" s="38" t="n"/>
      <c r="D1240" s="45" t="n"/>
      <c r="E1240" s="45" t="n"/>
      <c r="F1240" s="45" t="n"/>
    </row>
    <row r="1241">
      <c r="A1241" s="16">
        <f>IF($B1241="","",COUNTA($B$4:$B1241))</f>
        <v/>
      </c>
      <c r="B1241" s="72" t="n"/>
      <c r="C1241" s="40" t="n"/>
      <c r="D1241" s="47" t="n"/>
      <c r="E1241" s="47" t="n"/>
      <c r="F1241" s="47" t="n"/>
    </row>
    <row r="1242">
      <c r="A1242" s="16">
        <f>IF($B1242="","",COUNTA($B$4:$B1242))</f>
        <v/>
      </c>
      <c r="B1242" s="71" t="n"/>
      <c r="C1242" s="38" t="n"/>
      <c r="D1242" s="45" t="n"/>
      <c r="E1242" s="45" t="n"/>
      <c r="F1242" s="45" t="n"/>
    </row>
    <row r="1243">
      <c r="A1243" s="16">
        <f>IF($B1243="","",COUNTA($B$4:$B1243))</f>
        <v/>
      </c>
      <c r="B1243" s="72" t="n"/>
      <c r="C1243" s="40" t="n"/>
      <c r="D1243" s="47" t="n"/>
      <c r="E1243" s="47" t="n"/>
      <c r="F1243" s="47" t="n"/>
    </row>
    <row r="1244">
      <c r="A1244" s="16">
        <f>IF($B1244="","",COUNTA($B$4:$B1244))</f>
        <v/>
      </c>
      <c r="B1244" s="71" t="n"/>
      <c r="C1244" s="38" t="n"/>
      <c r="D1244" s="45" t="n"/>
      <c r="E1244" s="45" t="n"/>
      <c r="F1244" s="45" t="n"/>
    </row>
    <row r="1245">
      <c r="A1245" s="16">
        <f>IF($B1245="","",COUNTA($B$4:$B1245))</f>
        <v/>
      </c>
      <c r="B1245" s="72" t="n"/>
      <c r="C1245" s="40" t="n"/>
      <c r="D1245" s="47" t="n"/>
      <c r="E1245" s="47" t="n"/>
      <c r="F1245" s="47" t="n"/>
    </row>
    <row r="1246">
      <c r="A1246" s="16">
        <f>IF($B1246="","",COUNTA($B$4:$B1246))</f>
        <v/>
      </c>
      <c r="B1246" s="71" t="n"/>
      <c r="C1246" s="38" t="n"/>
      <c r="D1246" s="45" t="n"/>
      <c r="E1246" s="45" t="n"/>
      <c r="F1246" s="45" t="n"/>
    </row>
    <row r="1247">
      <c r="A1247" s="16">
        <f>IF($B1247="","",COUNTA($B$4:$B1247))</f>
        <v/>
      </c>
      <c r="B1247" s="72" t="n"/>
      <c r="C1247" s="40" t="n"/>
      <c r="D1247" s="47" t="n"/>
      <c r="E1247" s="47" t="n"/>
      <c r="F1247" s="47" t="n"/>
    </row>
    <row r="1248">
      <c r="A1248" s="16">
        <f>IF($B1248="","",COUNTA($B$4:$B1248))</f>
        <v/>
      </c>
      <c r="B1248" s="71" t="n"/>
      <c r="C1248" s="38" t="n"/>
      <c r="D1248" s="45" t="n"/>
      <c r="E1248" s="45" t="n"/>
      <c r="F1248" s="45" t="n"/>
    </row>
    <row r="1249">
      <c r="A1249" s="16">
        <f>IF($B1249="","",COUNTA($B$4:$B1249))</f>
        <v/>
      </c>
      <c r="B1249" s="72" t="n"/>
      <c r="C1249" s="40" t="n"/>
      <c r="D1249" s="47" t="n"/>
      <c r="E1249" s="47" t="n"/>
      <c r="F1249" s="47" t="n"/>
    </row>
    <row r="1250">
      <c r="A1250" s="16">
        <f>IF($B1250="","",COUNTA($B$4:$B1250))</f>
        <v/>
      </c>
      <c r="B1250" s="71" t="n"/>
      <c r="C1250" s="38" t="n"/>
      <c r="D1250" s="45" t="n"/>
      <c r="E1250" s="45" t="n"/>
      <c r="F1250" s="45" t="n"/>
    </row>
    <row r="1251">
      <c r="A1251" s="16">
        <f>IF($B1251="","",COUNTA($B$4:$B1251))</f>
        <v/>
      </c>
      <c r="B1251" s="72" t="n"/>
      <c r="C1251" s="40" t="n"/>
      <c r="D1251" s="47" t="n"/>
      <c r="E1251" s="47" t="n"/>
      <c r="F1251" s="47" t="n"/>
    </row>
    <row r="1252">
      <c r="A1252" s="16">
        <f>IF($B1252="","",COUNTA($B$4:$B1252))</f>
        <v/>
      </c>
      <c r="B1252" s="71" t="n"/>
      <c r="C1252" s="38" t="n"/>
      <c r="D1252" s="45" t="n"/>
      <c r="E1252" s="45" t="n"/>
      <c r="F1252" s="45" t="n"/>
    </row>
    <row r="1253">
      <c r="A1253" s="16">
        <f>IF($B1253="","",COUNTA($B$4:$B1253))</f>
        <v/>
      </c>
      <c r="B1253" s="72" t="n"/>
      <c r="C1253" s="40" t="n"/>
      <c r="D1253" s="47" t="n"/>
      <c r="E1253" s="47" t="n"/>
      <c r="F1253" s="47" t="n"/>
    </row>
    <row r="1254">
      <c r="A1254" s="16">
        <f>IF($B1254="","",COUNTA($B$4:$B1254))</f>
        <v/>
      </c>
      <c r="B1254" s="71" t="n"/>
      <c r="C1254" s="38" t="n"/>
      <c r="D1254" s="45" t="n"/>
      <c r="E1254" s="45" t="n"/>
      <c r="F1254" s="45" t="n"/>
    </row>
    <row r="1255">
      <c r="A1255" s="16">
        <f>IF($B1255="","",COUNTA($B$4:$B1255))</f>
        <v/>
      </c>
      <c r="B1255" s="72" t="n"/>
      <c r="C1255" s="40" t="n"/>
      <c r="D1255" s="47" t="n"/>
      <c r="E1255" s="47" t="n"/>
      <c r="F1255" s="47" t="n"/>
    </row>
    <row r="1256">
      <c r="A1256" s="16">
        <f>IF($B1256="","",COUNTA($B$4:$B1256))</f>
        <v/>
      </c>
      <c r="B1256" s="71" t="n"/>
      <c r="C1256" s="38" t="n"/>
      <c r="D1256" s="45" t="n"/>
      <c r="E1256" s="45" t="n"/>
      <c r="F1256" s="45" t="n"/>
    </row>
    <row r="1257">
      <c r="A1257" s="16">
        <f>IF($B1257="","",COUNTA($B$4:$B1257))</f>
        <v/>
      </c>
      <c r="B1257" s="72" t="n"/>
      <c r="C1257" s="40" t="n"/>
      <c r="D1257" s="47" t="n"/>
      <c r="E1257" s="47" t="n"/>
      <c r="F1257" s="47" t="n"/>
    </row>
    <row r="1258">
      <c r="A1258" s="16">
        <f>IF($B1258="","",COUNTA($B$4:$B1258))</f>
        <v/>
      </c>
      <c r="B1258" s="71" t="n"/>
      <c r="C1258" s="38" t="n"/>
      <c r="D1258" s="45" t="n"/>
      <c r="E1258" s="45" t="n"/>
      <c r="F1258" s="45" t="n"/>
    </row>
    <row r="1259">
      <c r="A1259" s="16">
        <f>IF($B1259="","",COUNTA($B$4:$B1259))</f>
        <v/>
      </c>
      <c r="B1259" s="72" t="n"/>
      <c r="C1259" s="40" t="n"/>
      <c r="D1259" s="47" t="n"/>
      <c r="E1259" s="47" t="n"/>
      <c r="F1259" s="47" t="n"/>
    </row>
    <row r="1260">
      <c r="A1260" s="16">
        <f>IF($B1260="","",COUNTA($B$4:$B1260))</f>
        <v/>
      </c>
      <c r="B1260" s="71" t="n"/>
      <c r="C1260" s="38" t="n"/>
      <c r="D1260" s="45" t="n"/>
      <c r="E1260" s="45" t="n"/>
      <c r="F1260" s="45" t="n"/>
    </row>
    <row r="1261">
      <c r="A1261" s="16">
        <f>IF($B1261="","",COUNTA($B$4:$B1261))</f>
        <v/>
      </c>
      <c r="B1261" s="72" t="n"/>
      <c r="C1261" s="40" t="n"/>
      <c r="D1261" s="47" t="n"/>
      <c r="E1261" s="47" t="n"/>
      <c r="F1261" s="47" t="n"/>
    </row>
    <row r="1262">
      <c r="A1262" s="16">
        <f>IF($B1262="","",COUNTA($B$4:$B1262))</f>
        <v/>
      </c>
      <c r="B1262" s="71" t="n"/>
      <c r="C1262" s="38" t="n"/>
      <c r="D1262" s="45" t="n"/>
      <c r="E1262" s="45" t="n"/>
      <c r="F1262" s="45" t="n"/>
    </row>
    <row r="1263">
      <c r="A1263" s="16">
        <f>IF($B1263="","",COUNTA($B$4:$B1263))</f>
        <v/>
      </c>
      <c r="B1263" s="72" t="n"/>
      <c r="C1263" s="40" t="n"/>
      <c r="D1263" s="47" t="n"/>
      <c r="E1263" s="47" t="n"/>
      <c r="F1263" s="47" t="n"/>
    </row>
    <row r="1264">
      <c r="A1264" s="16">
        <f>IF($B1264="","",COUNTA($B$4:$B1264))</f>
        <v/>
      </c>
      <c r="B1264" s="71" t="n"/>
      <c r="C1264" s="38" t="n"/>
      <c r="D1264" s="45" t="n"/>
      <c r="E1264" s="45" t="n"/>
      <c r="F1264" s="45" t="n"/>
    </row>
    <row r="1265">
      <c r="A1265" s="16">
        <f>IF($B1265="","",COUNTA($B$4:$B1265))</f>
        <v/>
      </c>
      <c r="B1265" s="72" t="n"/>
      <c r="C1265" s="40" t="n"/>
      <c r="D1265" s="47" t="n"/>
      <c r="E1265" s="47" t="n"/>
      <c r="F1265" s="47" t="n"/>
    </row>
    <row r="1266">
      <c r="A1266" s="16">
        <f>IF($B1266="","",COUNTA($B$4:$B1266))</f>
        <v/>
      </c>
      <c r="B1266" s="71" t="n"/>
      <c r="C1266" s="38" t="n"/>
      <c r="D1266" s="45" t="n"/>
      <c r="E1266" s="45" t="n"/>
      <c r="F1266" s="45" t="n"/>
    </row>
    <row r="1267">
      <c r="A1267" s="16">
        <f>IF($B1267="","",COUNTA($B$4:$B1267))</f>
        <v/>
      </c>
      <c r="B1267" s="72" t="n"/>
      <c r="C1267" s="40" t="n"/>
      <c r="D1267" s="47" t="n"/>
      <c r="E1267" s="47" t="n"/>
      <c r="F1267" s="47" t="n"/>
    </row>
    <row r="1268">
      <c r="A1268" s="16">
        <f>IF($B1268="","",COUNTA($B$4:$B1268))</f>
        <v/>
      </c>
      <c r="B1268" s="71" t="n"/>
      <c r="C1268" s="38" t="n"/>
      <c r="D1268" s="45" t="n"/>
      <c r="E1268" s="45" t="n"/>
      <c r="F1268" s="45" t="n"/>
    </row>
    <row r="1269">
      <c r="A1269" s="16">
        <f>IF($B1269="","",COUNTA($B$4:$B1269))</f>
        <v/>
      </c>
      <c r="B1269" s="72" t="n"/>
      <c r="C1269" s="40" t="n"/>
      <c r="D1269" s="47" t="n"/>
      <c r="E1269" s="47" t="n"/>
      <c r="F1269" s="47" t="n"/>
    </row>
    <row r="1270">
      <c r="A1270" s="16">
        <f>IF($B1270="","",COUNTA($B$4:$B1270))</f>
        <v/>
      </c>
      <c r="B1270" s="71" t="n"/>
      <c r="C1270" s="38" t="n"/>
      <c r="D1270" s="45" t="n"/>
      <c r="E1270" s="45" t="n"/>
      <c r="F1270" s="45" t="n"/>
    </row>
    <row r="1271">
      <c r="A1271" s="16">
        <f>IF($B1271="","",COUNTA($B$4:$B1271))</f>
        <v/>
      </c>
      <c r="B1271" s="72" t="n"/>
      <c r="C1271" s="40" t="n"/>
      <c r="D1271" s="47" t="n"/>
      <c r="E1271" s="47" t="n"/>
      <c r="F1271" s="47" t="n"/>
    </row>
    <row r="1272">
      <c r="A1272" s="16">
        <f>IF($B1272="","",COUNTA($B$4:$B1272))</f>
        <v/>
      </c>
      <c r="B1272" s="71" t="n"/>
      <c r="C1272" s="38" t="n"/>
      <c r="D1272" s="45" t="n"/>
      <c r="E1272" s="45" t="n"/>
      <c r="F1272" s="45" t="n"/>
    </row>
    <row r="1273">
      <c r="A1273" s="16">
        <f>IF($B1273="","",COUNTA($B$4:$B1273))</f>
        <v/>
      </c>
      <c r="B1273" s="72" t="n"/>
      <c r="C1273" s="40" t="n"/>
      <c r="D1273" s="47" t="n"/>
      <c r="E1273" s="47" t="n"/>
      <c r="F1273" s="47" t="n"/>
    </row>
    <row r="1274">
      <c r="A1274" s="16">
        <f>IF($B1274="","",COUNTA($B$4:$B1274))</f>
        <v/>
      </c>
      <c r="B1274" s="71" t="n"/>
      <c r="C1274" s="38" t="n"/>
      <c r="D1274" s="45" t="n"/>
      <c r="E1274" s="45" t="n"/>
      <c r="F1274" s="45" t="n"/>
    </row>
    <row r="1275">
      <c r="A1275" s="16">
        <f>IF($B1275="","",COUNTA($B$4:$B1275))</f>
        <v/>
      </c>
      <c r="B1275" s="72" t="n"/>
      <c r="C1275" s="40" t="n"/>
      <c r="D1275" s="47" t="n"/>
      <c r="E1275" s="47" t="n"/>
      <c r="F1275" s="47" t="n"/>
    </row>
    <row r="1276">
      <c r="A1276" s="16">
        <f>IF($B1276="","",COUNTA($B$4:$B1276))</f>
        <v/>
      </c>
      <c r="B1276" s="71" t="n"/>
      <c r="C1276" s="38" t="n"/>
      <c r="D1276" s="45" t="n"/>
      <c r="E1276" s="45" t="n"/>
      <c r="F1276" s="45" t="n"/>
    </row>
    <row r="1277">
      <c r="A1277" s="16">
        <f>IF($B1277="","",COUNTA($B$4:$B1277))</f>
        <v/>
      </c>
      <c r="B1277" s="72" t="n"/>
      <c r="C1277" s="40" t="n"/>
      <c r="D1277" s="47" t="n"/>
      <c r="E1277" s="47" t="n"/>
      <c r="F1277" s="47" t="n"/>
    </row>
    <row r="1278">
      <c r="A1278" s="16">
        <f>IF($B1278="","",COUNTA($B$4:$B1278))</f>
        <v/>
      </c>
      <c r="B1278" s="71" t="n"/>
      <c r="C1278" s="38" t="n"/>
      <c r="D1278" s="45" t="n"/>
      <c r="E1278" s="45" t="n"/>
      <c r="F1278" s="45" t="n"/>
    </row>
    <row r="1279">
      <c r="A1279" s="16">
        <f>IF($B1279="","",COUNTA($B$4:$B1279))</f>
        <v/>
      </c>
      <c r="B1279" s="72" t="n"/>
      <c r="C1279" s="40" t="n"/>
      <c r="D1279" s="47" t="n"/>
      <c r="E1279" s="47" t="n"/>
      <c r="F1279" s="47" t="n"/>
    </row>
    <row r="1280">
      <c r="A1280" s="16">
        <f>IF($B1280="","",COUNTA($B$4:$B1280))</f>
        <v/>
      </c>
      <c r="B1280" s="71" t="n"/>
      <c r="C1280" s="38" t="n"/>
      <c r="D1280" s="45" t="n"/>
      <c r="E1280" s="45" t="n"/>
      <c r="F1280" s="45" t="n"/>
    </row>
    <row r="1281">
      <c r="A1281" s="16">
        <f>IF($B1281="","",COUNTA($B$4:$B1281))</f>
        <v/>
      </c>
      <c r="B1281" s="72" t="n"/>
      <c r="C1281" s="40" t="n"/>
      <c r="D1281" s="47" t="n"/>
      <c r="E1281" s="47" t="n"/>
      <c r="F1281" s="47" t="n"/>
    </row>
    <row r="1282">
      <c r="A1282" s="16">
        <f>IF($B1282="","",COUNTA($B$4:$B1282))</f>
        <v/>
      </c>
      <c r="B1282" s="71" t="n"/>
      <c r="C1282" s="38" t="n"/>
      <c r="D1282" s="45" t="n"/>
      <c r="E1282" s="45" t="n"/>
      <c r="F1282" s="45" t="n"/>
    </row>
    <row r="1283">
      <c r="A1283" s="16">
        <f>IF($B1283="","",COUNTA($B$4:$B1283))</f>
        <v/>
      </c>
      <c r="B1283" s="72" t="n"/>
      <c r="C1283" s="40" t="n"/>
      <c r="D1283" s="47" t="n"/>
      <c r="E1283" s="47" t="n"/>
      <c r="F1283" s="47" t="n"/>
    </row>
    <row r="1284">
      <c r="A1284" s="16">
        <f>IF($B1284="","",COUNTA($B$4:$B1284))</f>
        <v/>
      </c>
      <c r="B1284" s="71" t="n"/>
      <c r="C1284" s="38" t="n"/>
      <c r="D1284" s="45" t="n"/>
      <c r="E1284" s="45" t="n"/>
      <c r="F1284" s="45" t="n"/>
    </row>
    <row r="1285">
      <c r="A1285" s="16">
        <f>IF($B1285="","",COUNTA($B$4:$B1285))</f>
        <v/>
      </c>
      <c r="B1285" s="72" t="n"/>
      <c r="C1285" s="40" t="n"/>
      <c r="D1285" s="47" t="n"/>
      <c r="E1285" s="47" t="n"/>
      <c r="F1285" s="47" t="n"/>
    </row>
    <row r="1286">
      <c r="A1286" s="16">
        <f>IF($B1286="","",COUNTA($B$4:$B1286))</f>
        <v/>
      </c>
      <c r="B1286" s="71" t="n"/>
      <c r="C1286" s="38" t="n"/>
      <c r="D1286" s="45" t="n"/>
      <c r="E1286" s="45" t="n"/>
      <c r="F1286" s="45" t="n"/>
    </row>
    <row r="1287">
      <c r="A1287" s="16">
        <f>IF($B1287="","",COUNTA($B$4:$B1287))</f>
        <v/>
      </c>
      <c r="B1287" s="72" t="n"/>
      <c r="C1287" s="40" t="n"/>
      <c r="D1287" s="47" t="n"/>
      <c r="E1287" s="47" t="n"/>
      <c r="F1287" s="47" t="n"/>
    </row>
    <row r="1288">
      <c r="A1288" s="16">
        <f>IF($B1288="","",COUNTA($B$4:$B1288))</f>
        <v/>
      </c>
      <c r="B1288" s="71" t="n"/>
      <c r="C1288" s="38" t="n"/>
      <c r="D1288" s="45" t="n"/>
      <c r="E1288" s="45" t="n"/>
      <c r="F1288" s="45" t="n"/>
    </row>
    <row r="1289">
      <c r="A1289" s="16">
        <f>IF($B1289="","",COUNTA($B$4:$B1289))</f>
        <v/>
      </c>
      <c r="B1289" s="72" t="n"/>
      <c r="C1289" s="40" t="n"/>
      <c r="D1289" s="47" t="n"/>
      <c r="E1289" s="47" t="n"/>
      <c r="F1289" s="47" t="n"/>
    </row>
    <row r="1290">
      <c r="A1290" s="16">
        <f>IF($B1290="","",COUNTA($B$4:$B1290))</f>
        <v/>
      </c>
      <c r="B1290" s="71" t="n"/>
      <c r="C1290" s="38" t="n"/>
      <c r="D1290" s="45" t="n"/>
      <c r="E1290" s="45" t="n"/>
      <c r="F1290" s="45" t="n"/>
    </row>
    <row r="1291">
      <c r="A1291" s="16">
        <f>IF($B1291="","",COUNTA($B$4:$B1291))</f>
        <v/>
      </c>
      <c r="B1291" s="72" t="n"/>
      <c r="C1291" s="40" t="n"/>
      <c r="D1291" s="47" t="n"/>
      <c r="E1291" s="47" t="n"/>
      <c r="F1291" s="47" t="n"/>
    </row>
    <row r="1292">
      <c r="A1292" s="16">
        <f>IF($B1292="","",COUNTA($B$4:$B1292))</f>
        <v/>
      </c>
      <c r="B1292" s="71" t="n"/>
      <c r="C1292" s="38" t="n"/>
      <c r="D1292" s="45" t="n"/>
      <c r="E1292" s="45" t="n"/>
      <c r="F1292" s="45" t="n"/>
    </row>
    <row r="1293">
      <c r="A1293" s="16">
        <f>IF($B1293="","",COUNTA($B$4:$B1293))</f>
        <v/>
      </c>
      <c r="B1293" s="72" t="n"/>
      <c r="C1293" s="40" t="n"/>
      <c r="D1293" s="47" t="n"/>
      <c r="E1293" s="47" t="n"/>
      <c r="F1293" s="47" t="n"/>
    </row>
    <row r="1294">
      <c r="A1294" s="16">
        <f>IF($B1294="","",COUNTA($B$4:$B1294))</f>
        <v/>
      </c>
      <c r="B1294" s="71" t="n"/>
      <c r="C1294" s="38" t="n"/>
      <c r="D1294" s="45" t="n"/>
      <c r="E1294" s="45" t="n"/>
      <c r="F1294" s="45" t="n"/>
    </row>
    <row r="1295">
      <c r="A1295" s="16">
        <f>IF($B1295="","",COUNTA($B$4:$B1295))</f>
        <v/>
      </c>
      <c r="B1295" s="72" t="n"/>
      <c r="C1295" s="40" t="n"/>
      <c r="D1295" s="47" t="n"/>
      <c r="E1295" s="47" t="n"/>
      <c r="F1295" s="47" t="n"/>
    </row>
    <row r="1296">
      <c r="A1296" s="16">
        <f>IF($B1296="","",COUNTA($B$4:$B1296))</f>
        <v/>
      </c>
      <c r="B1296" s="71" t="n"/>
      <c r="C1296" s="38" t="n"/>
      <c r="D1296" s="45" t="n"/>
      <c r="E1296" s="45" t="n"/>
      <c r="F1296" s="45" t="n"/>
    </row>
    <row r="1297">
      <c r="A1297" s="16">
        <f>IF($B1297="","",COUNTA($B$4:$B1297))</f>
        <v/>
      </c>
      <c r="B1297" s="72" t="n"/>
      <c r="C1297" s="40" t="n"/>
      <c r="D1297" s="47" t="n"/>
      <c r="E1297" s="47" t="n"/>
      <c r="F1297" s="47" t="n"/>
    </row>
    <row r="1298">
      <c r="A1298" s="16">
        <f>IF($B1298="","",COUNTA($B$4:$B1298))</f>
        <v/>
      </c>
      <c r="B1298" s="71" t="n"/>
      <c r="C1298" s="38" t="n"/>
      <c r="D1298" s="45" t="n"/>
      <c r="E1298" s="45" t="n"/>
      <c r="F1298" s="45" t="n"/>
    </row>
    <row r="1299">
      <c r="A1299" s="16">
        <f>IF($B1299="","",COUNTA($B$4:$B1299))</f>
        <v/>
      </c>
      <c r="B1299" s="72" t="n"/>
      <c r="C1299" s="40" t="n"/>
      <c r="D1299" s="47" t="n"/>
      <c r="E1299" s="47" t="n"/>
      <c r="F1299" s="47" t="n"/>
    </row>
    <row r="1300">
      <c r="A1300" s="16">
        <f>IF($B1300="","",COUNTA($B$4:$B1300))</f>
        <v/>
      </c>
      <c r="B1300" s="71" t="n"/>
      <c r="C1300" s="38" t="n"/>
      <c r="D1300" s="45" t="n"/>
      <c r="E1300" s="45" t="n"/>
      <c r="F1300" s="45" t="n"/>
    </row>
    <row r="1301">
      <c r="A1301" s="16">
        <f>IF($B1301="","",COUNTA($B$4:$B1301))</f>
        <v/>
      </c>
      <c r="B1301" s="72" t="n"/>
      <c r="C1301" s="40" t="n"/>
      <c r="D1301" s="47" t="n"/>
      <c r="E1301" s="47" t="n"/>
      <c r="F1301" s="47" t="n"/>
    </row>
    <row r="1302">
      <c r="A1302" s="16">
        <f>IF($B1302="","",COUNTA($B$4:$B1302))</f>
        <v/>
      </c>
      <c r="B1302" s="71" t="n"/>
      <c r="C1302" s="38" t="n"/>
      <c r="D1302" s="45" t="n"/>
      <c r="E1302" s="45" t="n"/>
      <c r="F1302" s="45" t="n"/>
    </row>
    <row r="1303">
      <c r="A1303" s="16">
        <f>IF($B1303="","",COUNTA($B$4:$B1303))</f>
        <v/>
      </c>
      <c r="B1303" s="72" t="n"/>
      <c r="C1303" s="40" t="n"/>
      <c r="D1303" s="47" t="n"/>
      <c r="E1303" s="47" t="n"/>
      <c r="F1303" s="47" t="n"/>
    </row>
    <row r="1304">
      <c r="A1304" s="16">
        <f>IF($B1304="","",COUNTA($B$4:$B1304))</f>
        <v/>
      </c>
      <c r="B1304" s="71" t="n"/>
      <c r="C1304" s="38" t="n"/>
      <c r="D1304" s="45" t="n"/>
      <c r="E1304" s="45" t="n"/>
      <c r="F1304" s="45" t="n"/>
    </row>
    <row r="1305">
      <c r="A1305" s="16">
        <f>IF($B1305="","",COUNTA($B$4:$B1305))</f>
        <v/>
      </c>
      <c r="B1305" s="72" t="n"/>
      <c r="C1305" s="40" t="n"/>
      <c r="D1305" s="47" t="n"/>
      <c r="E1305" s="47" t="n"/>
      <c r="F1305" s="47" t="n"/>
    </row>
    <row r="1306">
      <c r="A1306" s="16">
        <f>IF($B1306="","",COUNTA($B$4:$B1306))</f>
        <v/>
      </c>
      <c r="B1306" s="71" t="n"/>
      <c r="C1306" s="38" t="n"/>
      <c r="D1306" s="45" t="n"/>
      <c r="E1306" s="45" t="n"/>
      <c r="F1306" s="45" t="n"/>
    </row>
    <row r="1307">
      <c r="A1307" s="16">
        <f>IF($B1307="","",COUNTA($B$4:$B1307))</f>
        <v/>
      </c>
      <c r="B1307" s="72" t="n"/>
      <c r="C1307" s="40" t="n"/>
      <c r="D1307" s="47" t="n"/>
      <c r="E1307" s="47" t="n"/>
      <c r="F1307" s="47" t="n"/>
    </row>
    <row r="1308">
      <c r="A1308" s="16">
        <f>IF($B1308="","",COUNTA($B$4:$B1308))</f>
        <v/>
      </c>
      <c r="B1308" s="71" t="n"/>
      <c r="C1308" s="38" t="n"/>
      <c r="D1308" s="45" t="n"/>
      <c r="E1308" s="45" t="n"/>
      <c r="F1308" s="45" t="n"/>
    </row>
    <row r="1309">
      <c r="A1309" s="16">
        <f>IF($B1309="","",COUNTA($B$4:$B1309))</f>
        <v/>
      </c>
      <c r="B1309" s="72" t="n"/>
      <c r="C1309" s="40" t="n"/>
      <c r="D1309" s="47" t="n"/>
      <c r="E1309" s="47" t="n"/>
      <c r="F1309" s="47" t="n"/>
    </row>
    <row r="1310">
      <c r="A1310" s="16">
        <f>IF($B1310="","",COUNTA($B$4:$B1310))</f>
        <v/>
      </c>
      <c r="B1310" s="71" t="n"/>
      <c r="C1310" s="38" t="n"/>
      <c r="D1310" s="45" t="n"/>
      <c r="E1310" s="45" t="n"/>
      <c r="F1310" s="45" t="n"/>
    </row>
    <row r="1311">
      <c r="A1311" s="16">
        <f>IF($B1311="","",COUNTA($B$4:$B1311))</f>
        <v/>
      </c>
      <c r="B1311" s="72" t="n"/>
      <c r="C1311" s="40" t="n"/>
      <c r="D1311" s="47" t="n"/>
      <c r="E1311" s="47" t="n"/>
      <c r="F1311" s="47" t="n"/>
    </row>
    <row r="1312">
      <c r="A1312" s="16">
        <f>IF($B1312="","",COUNTA($B$4:$B1312))</f>
        <v/>
      </c>
      <c r="B1312" s="71" t="n"/>
      <c r="C1312" s="38" t="n"/>
      <c r="D1312" s="45" t="n"/>
      <c r="E1312" s="45" t="n"/>
      <c r="F1312" s="45" t="n"/>
    </row>
    <row r="1313">
      <c r="A1313" s="16">
        <f>IF($B1313="","",COUNTA($B$4:$B1313))</f>
        <v/>
      </c>
      <c r="B1313" s="72" t="n"/>
      <c r="C1313" s="40" t="n"/>
      <c r="D1313" s="47" t="n"/>
      <c r="E1313" s="47" t="n"/>
      <c r="F1313" s="47" t="n"/>
    </row>
    <row r="1314">
      <c r="A1314" s="16">
        <f>IF($B1314="","",COUNTA($B$4:$B1314))</f>
        <v/>
      </c>
      <c r="B1314" s="71" t="n"/>
      <c r="C1314" s="38" t="n"/>
      <c r="D1314" s="45" t="n"/>
      <c r="E1314" s="45" t="n"/>
      <c r="F1314" s="45" t="n"/>
    </row>
    <row r="1315">
      <c r="A1315" s="16">
        <f>IF($B1315="","",COUNTA($B$4:$B1315))</f>
        <v/>
      </c>
      <c r="B1315" s="72" t="n"/>
      <c r="C1315" s="40" t="n"/>
      <c r="D1315" s="47" t="n"/>
      <c r="E1315" s="47" t="n"/>
      <c r="F1315" s="47" t="n"/>
    </row>
    <row r="1316">
      <c r="A1316" s="16">
        <f>IF($B1316="","",COUNTA($B$4:$B1316))</f>
        <v/>
      </c>
      <c r="B1316" s="71" t="n"/>
      <c r="C1316" s="38" t="n"/>
      <c r="D1316" s="45" t="n"/>
      <c r="E1316" s="45" t="n"/>
      <c r="F1316" s="45" t="n"/>
    </row>
    <row r="1317">
      <c r="A1317" s="16">
        <f>IF($B1317="","",COUNTA($B$4:$B1317))</f>
        <v/>
      </c>
      <c r="B1317" s="72" t="n"/>
      <c r="C1317" s="40" t="n"/>
      <c r="D1317" s="47" t="n"/>
      <c r="E1317" s="47" t="n"/>
      <c r="F1317" s="47" t="n"/>
    </row>
    <row r="1318">
      <c r="A1318" s="16">
        <f>IF($B1318="","",COUNTA($B$4:$B1318))</f>
        <v/>
      </c>
      <c r="B1318" s="71" t="n"/>
      <c r="C1318" s="38" t="n"/>
      <c r="D1318" s="45" t="n"/>
      <c r="E1318" s="45" t="n"/>
      <c r="F1318" s="45" t="n"/>
    </row>
    <row r="1319">
      <c r="A1319" s="16">
        <f>IF($B1319="","",COUNTA($B$4:$B1319))</f>
        <v/>
      </c>
      <c r="B1319" s="72" t="n"/>
      <c r="C1319" s="40" t="n"/>
      <c r="D1319" s="47" t="n"/>
      <c r="E1319" s="47" t="n"/>
      <c r="F1319" s="47" t="n"/>
    </row>
    <row r="1320">
      <c r="A1320" s="16">
        <f>IF($B1320="","",COUNTA($B$4:$B1320))</f>
        <v/>
      </c>
      <c r="B1320" s="71" t="n"/>
      <c r="C1320" s="38" t="n"/>
      <c r="D1320" s="45" t="n"/>
      <c r="E1320" s="45" t="n"/>
      <c r="F1320" s="45" t="n"/>
    </row>
    <row r="1321">
      <c r="A1321" s="16">
        <f>IF($B1321="","",COUNTA($B$4:$B1321))</f>
        <v/>
      </c>
      <c r="B1321" s="72" t="n"/>
      <c r="C1321" s="40" t="n"/>
      <c r="D1321" s="47" t="n"/>
      <c r="E1321" s="47" t="n"/>
      <c r="F1321" s="47" t="n"/>
    </row>
    <row r="1322">
      <c r="A1322" s="16">
        <f>IF($B1322="","",COUNTA($B$4:$B1322))</f>
        <v/>
      </c>
      <c r="B1322" s="71" t="n"/>
      <c r="C1322" s="38" t="n"/>
      <c r="D1322" s="45" t="n"/>
      <c r="E1322" s="45" t="n"/>
      <c r="F1322" s="45" t="n"/>
    </row>
    <row r="1323">
      <c r="A1323" s="16">
        <f>IF($B1323="","",COUNTA($B$4:$B1323))</f>
        <v/>
      </c>
      <c r="B1323" s="72" t="n"/>
      <c r="C1323" s="40" t="n"/>
      <c r="D1323" s="47" t="n"/>
      <c r="E1323" s="47" t="n"/>
      <c r="F1323" s="47" t="n"/>
    </row>
    <row r="1324">
      <c r="A1324" s="16">
        <f>IF($B1324="","",COUNTA($B$4:$B1324))</f>
        <v/>
      </c>
      <c r="B1324" s="71" t="n"/>
      <c r="C1324" s="38" t="n"/>
      <c r="D1324" s="45" t="n"/>
      <c r="E1324" s="45" t="n"/>
      <c r="F1324" s="45" t="n"/>
    </row>
    <row r="1325">
      <c r="A1325" s="16">
        <f>IF($B1325="","",COUNTA($B$4:$B1325))</f>
        <v/>
      </c>
      <c r="B1325" s="72" t="n"/>
      <c r="C1325" s="40" t="n"/>
      <c r="D1325" s="47" t="n"/>
      <c r="E1325" s="47" t="n"/>
      <c r="F1325" s="47" t="n"/>
    </row>
    <row r="1326">
      <c r="A1326" s="16">
        <f>IF($B1326="","",COUNTA($B$4:$B1326))</f>
        <v/>
      </c>
      <c r="B1326" s="71" t="n"/>
      <c r="C1326" s="38" t="n"/>
      <c r="D1326" s="45" t="n"/>
      <c r="E1326" s="45" t="n"/>
      <c r="F1326" s="45" t="n"/>
    </row>
    <row r="1327">
      <c r="A1327" s="16">
        <f>IF($B1327="","",COUNTA($B$4:$B1327))</f>
        <v/>
      </c>
      <c r="B1327" s="72" t="n"/>
      <c r="C1327" s="40" t="n"/>
      <c r="D1327" s="47" t="n"/>
      <c r="E1327" s="47" t="n"/>
      <c r="F1327" s="47" t="n"/>
    </row>
    <row r="1328">
      <c r="A1328" s="16">
        <f>IF($B1328="","",COUNTA($B$4:$B1328))</f>
        <v/>
      </c>
      <c r="B1328" s="71" t="n"/>
      <c r="C1328" s="38" t="n"/>
      <c r="D1328" s="45" t="n"/>
      <c r="E1328" s="45" t="n"/>
      <c r="F1328" s="45" t="n"/>
    </row>
    <row r="1329">
      <c r="A1329" s="16">
        <f>IF($B1329="","",COUNTA($B$4:$B1329))</f>
        <v/>
      </c>
      <c r="B1329" s="72" t="n"/>
      <c r="C1329" s="40" t="n"/>
      <c r="D1329" s="47" t="n"/>
      <c r="E1329" s="47" t="n"/>
      <c r="F1329" s="47" t="n"/>
    </row>
    <row r="1330">
      <c r="A1330" s="16">
        <f>IF($B1330="","",COUNTA($B$4:$B1330))</f>
        <v/>
      </c>
      <c r="B1330" s="71" t="n"/>
      <c r="C1330" s="38" t="n"/>
      <c r="D1330" s="45" t="n"/>
      <c r="E1330" s="45" t="n"/>
      <c r="F1330" s="45" t="n"/>
    </row>
    <row r="1331">
      <c r="A1331" s="16">
        <f>IF($B1331="","",COUNTA($B$4:$B1331))</f>
        <v/>
      </c>
      <c r="B1331" s="72" t="n"/>
      <c r="C1331" s="40" t="n"/>
      <c r="D1331" s="47" t="n"/>
      <c r="E1331" s="47" t="n"/>
      <c r="F1331" s="47" t="n"/>
    </row>
    <row r="1332">
      <c r="A1332" s="16">
        <f>IF($B1332="","",COUNTA($B$4:$B1332))</f>
        <v/>
      </c>
      <c r="B1332" s="71" t="n"/>
      <c r="C1332" s="38" t="n"/>
      <c r="D1332" s="45" t="n"/>
      <c r="E1332" s="45" t="n"/>
      <c r="F1332" s="45" t="n"/>
    </row>
    <row r="1333">
      <c r="A1333" s="16">
        <f>IF($B1333="","",COUNTA($B$4:$B1333))</f>
        <v/>
      </c>
      <c r="B1333" s="72" t="n"/>
      <c r="C1333" s="40" t="n"/>
      <c r="D1333" s="47" t="n"/>
      <c r="E1333" s="47" t="n"/>
      <c r="F1333" s="47" t="n"/>
    </row>
    <row r="1334">
      <c r="A1334" s="16">
        <f>IF($B1334="","",COUNTA($B$4:$B1334))</f>
        <v/>
      </c>
      <c r="B1334" s="71" t="n"/>
      <c r="C1334" s="38" t="n"/>
      <c r="D1334" s="45" t="n"/>
      <c r="E1334" s="45" t="n"/>
      <c r="F1334" s="45" t="n"/>
    </row>
    <row r="1335">
      <c r="A1335" s="16">
        <f>IF($B1335="","",COUNTA($B$4:$B1335))</f>
        <v/>
      </c>
      <c r="B1335" s="72" t="n"/>
      <c r="C1335" s="40" t="n"/>
      <c r="D1335" s="47" t="n"/>
      <c r="E1335" s="47" t="n"/>
      <c r="F1335" s="47" t="n"/>
    </row>
    <row r="1336">
      <c r="A1336" s="16">
        <f>IF($B1336="","",COUNTA($B$4:$B1336))</f>
        <v/>
      </c>
      <c r="B1336" s="71" t="n"/>
      <c r="C1336" s="38" t="n"/>
      <c r="D1336" s="45" t="n"/>
      <c r="E1336" s="45" t="n"/>
      <c r="F1336" s="45" t="n"/>
    </row>
    <row r="1337">
      <c r="A1337" s="16">
        <f>IF($B1337="","",COUNTA($B$4:$B1337))</f>
        <v/>
      </c>
      <c r="B1337" s="72" t="n"/>
      <c r="C1337" s="40" t="n"/>
      <c r="D1337" s="47" t="n"/>
      <c r="E1337" s="47" t="n"/>
      <c r="F1337" s="47" t="n"/>
    </row>
    <row r="1338">
      <c r="A1338" s="16">
        <f>IF($B1338="","",COUNTA($B$4:$B1338))</f>
        <v/>
      </c>
      <c r="B1338" s="71" t="n"/>
      <c r="C1338" s="38" t="n"/>
      <c r="D1338" s="45" t="n"/>
      <c r="E1338" s="45" t="n"/>
      <c r="F1338" s="45" t="n"/>
    </row>
    <row r="1339">
      <c r="A1339" s="16">
        <f>IF($B1339="","",COUNTA($B$4:$B1339))</f>
        <v/>
      </c>
      <c r="B1339" s="72" t="n"/>
      <c r="C1339" s="40" t="n"/>
      <c r="D1339" s="47" t="n"/>
      <c r="E1339" s="47" t="n"/>
      <c r="F1339" s="47" t="n"/>
    </row>
    <row r="1340">
      <c r="A1340" s="16">
        <f>IF($B1340="","",COUNTA($B$4:$B1340))</f>
        <v/>
      </c>
      <c r="B1340" s="71" t="n"/>
      <c r="C1340" s="38" t="n"/>
      <c r="D1340" s="45" t="n"/>
      <c r="E1340" s="45" t="n"/>
      <c r="F1340" s="45" t="n"/>
    </row>
    <row r="1341">
      <c r="A1341" s="16">
        <f>IF($B1341="","",COUNTA($B$4:$B1341))</f>
        <v/>
      </c>
      <c r="B1341" s="72" t="n"/>
      <c r="C1341" s="40" t="n"/>
      <c r="D1341" s="47" t="n"/>
      <c r="E1341" s="47" t="n"/>
      <c r="F1341" s="47" t="n"/>
    </row>
    <row r="1342">
      <c r="A1342" s="16">
        <f>IF($B1342="","",COUNTA($B$4:$B1342))</f>
        <v/>
      </c>
      <c r="B1342" s="71" t="n"/>
      <c r="C1342" s="38" t="n"/>
      <c r="D1342" s="45" t="n"/>
      <c r="E1342" s="45" t="n"/>
      <c r="F1342" s="45" t="n"/>
    </row>
    <row r="1343">
      <c r="A1343" s="16">
        <f>IF($B1343="","",COUNTA($B$4:$B1343))</f>
        <v/>
      </c>
      <c r="B1343" s="72" t="n"/>
      <c r="C1343" s="40" t="n"/>
      <c r="D1343" s="47" t="n"/>
      <c r="E1343" s="47" t="n"/>
      <c r="F1343" s="47" t="n"/>
    </row>
    <row r="1344">
      <c r="A1344" s="16">
        <f>IF($B1344="","",COUNTA($B$4:$B1344))</f>
        <v/>
      </c>
      <c r="B1344" s="71" t="n"/>
      <c r="C1344" s="38" t="n"/>
      <c r="D1344" s="45" t="n"/>
      <c r="E1344" s="45" t="n"/>
      <c r="F1344" s="45" t="n"/>
    </row>
    <row r="1345">
      <c r="A1345" s="16">
        <f>IF($B1345="","",COUNTA($B$4:$B1345))</f>
        <v/>
      </c>
      <c r="B1345" s="72" t="n"/>
      <c r="C1345" s="40" t="n"/>
      <c r="D1345" s="47" t="n"/>
      <c r="E1345" s="47" t="n"/>
      <c r="F1345" s="47" t="n"/>
    </row>
    <row r="1346">
      <c r="A1346" s="16">
        <f>IF($B1346="","",COUNTA($B$4:$B1346))</f>
        <v/>
      </c>
      <c r="B1346" s="71" t="n"/>
      <c r="C1346" s="38" t="n"/>
      <c r="D1346" s="45" t="n"/>
      <c r="E1346" s="45" t="n"/>
      <c r="F1346" s="45" t="n"/>
    </row>
    <row r="1347">
      <c r="A1347" s="16">
        <f>IF($B1347="","",COUNTA($B$4:$B1347))</f>
        <v/>
      </c>
      <c r="B1347" s="72" t="n"/>
      <c r="C1347" s="40" t="n"/>
      <c r="D1347" s="47" t="n"/>
      <c r="E1347" s="47" t="n"/>
      <c r="F1347" s="47" t="n"/>
    </row>
    <row r="1348">
      <c r="A1348" s="16">
        <f>IF($B1348="","",COUNTA($B$4:$B1348))</f>
        <v/>
      </c>
      <c r="B1348" s="71" t="n"/>
      <c r="C1348" s="38" t="n"/>
      <c r="D1348" s="45" t="n"/>
      <c r="E1348" s="45" t="n"/>
      <c r="F1348" s="45" t="n"/>
    </row>
    <row r="1349">
      <c r="A1349" s="16">
        <f>IF($B1349="","",COUNTA($B$4:$B1349))</f>
        <v/>
      </c>
      <c r="B1349" s="72" t="n"/>
      <c r="C1349" s="40" t="n"/>
      <c r="D1349" s="47" t="n"/>
      <c r="E1349" s="47" t="n"/>
      <c r="F1349" s="47" t="n"/>
    </row>
    <row r="1350">
      <c r="A1350" s="16">
        <f>IF($B1350="","",COUNTA($B$4:$B1350))</f>
        <v/>
      </c>
      <c r="B1350" s="71" t="n"/>
      <c r="C1350" s="38" t="n"/>
      <c r="D1350" s="45" t="n"/>
      <c r="E1350" s="45" t="n"/>
      <c r="F1350" s="45" t="n"/>
    </row>
    <row r="1351">
      <c r="A1351" s="16">
        <f>IF($B1351="","",COUNTA($B$4:$B1351))</f>
        <v/>
      </c>
      <c r="B1351" s="72" t="n"/>
      <c r="C1351" s="40" t="n"/>
      <c r="D1351" s="47" t="n"/>
      <c r="E1351" s="47" t="n"/>
      <c r="F1351" s="47" t="n"/>
    </row>
    <row r="1352">
      <c r="A1352" s="16">
        <f>IF($B1352="","",COUNTA($B$4:$B1352))</f>
        <v/>
      </c>
      <c r="B1352" s="71" t="n"/>
      <c r="C1352" s="38" t="n"/>
      <c r="D1352" s="45" t="n"/>
      <c r="E1352" s="45" t="n"/>
      <c r="F1352" s="45" t="n"/>
    </row>
    <row r="1353">
      <c r="A1353" s="16">
        <f>IF($B1353="","",COUNTA($B$4:$B1353))</f>
        <v/>
      </c>
      <c r="B1353" s="72" t="n"/>
      <c r="C1353" s="40" t="n"/>
      <c r="D1353" s="47" t="n"/>
      <c r="E1353" s="47" t="n"/>
      <c r="F1353" s="47" t="n"/>
    </row>
    <row r="1354">
      <c r="A1354" s="16">
        <f>IF($B1354="","",COUNTA($B$4:$B1354))</f>
        <v/>
      </c>
      <c r="B1354" s="71" t="n"/>
      <c r="C1354" s="38" t="n"/>
      <c r="D1354" s="45" t="n"/>
      <c r="E1354" s="45" t="n"/>
      <c r="F1354" s="45" t="n"/>
    </row>
    <row r="1355">
      <c r="A1355" s="16">
        <f>IF($B1355="","",COUNTA($B$4:$B1355))</f>
        <v/>
      </c>
      <c r="B1355" s="72" t="n"/>
      <c r="C1355" s="40" t="n"/>
      <c r="D1355" s="47" t="n"/>
      <c r="E1355" s="47" t="n"/>
      <c r="F1355" s="47" t="n"/>
    </row>
    <row r="1356">
      <c r="A1356" s="16">
        <f>IF($B1356="","",COUNTA($B$4:$B1356))</f>
        <v/>
      </c>
      <c r="B1356" s="71" t="n"/>
      <c r="C1356" s="38" t="n"/>
      <c r="D1356" s="45" t="n"/>
      <c r="E1356" s="45" t="n"/>
      <c r="F1356" s="45" t="n"/>
    </row>
    <row r="1357">
      <c r="A1357" s="16">
        <f>IF($B1357="","",COUNTA($B$4:$B1357))</f>
        <v/>
      </c>
      <c r="B1357" s="72" t="n"/>
      <c r="C1357" s="40" t="n"/>
      <c r="D1357" s="47" t="n"/>
      <c r="E1357" s="47" t="n"/>
      <c r="F1357" s="47" t="n"/>
    </row>
    <row r="1358">
      <c r="A1358" s="16">
        <f>IF($B1358="","",COUNTA($B$4:$B1358))</f>
        <v/>
      </c>
      <c r="B1358" s="71" t="n"/>
      <c r="C1358" s="38" t="n"/>
      <c r="D1358" s="45" t="n"/>
      <c r="E1358" s="45" t="n"/>
      <c r="F1358" s="45" t="n"/>
    </row>
    <row r="1359">
      <c r="A1359" s="16">
        <f>IF($B1359="","",COUNTA($B$4:$B1359))</f>
        <v/>
      </c>
      <c r="B1359" s="72" t="n"/>
      <c r="C1359" s="40" t="n"/>
      <c r="D1359" s="47" t="n"/>
      <c r="E1359" s="47" t="n"/>
      <c r="F1359" s="47" t="n"/>
    </row>
    <row r="1360">
      <c r="A1360" s="16">
        <f>IF($B1360="","",COUNTA($B$4:$B1360))</f>
        <v/>
      </c>
      <c r="B1360" s="71" t="n"/>
      <c r="C1360" s="38" t="n"/>
      <c r="D1360" s="45" t="n"/>
      <c r="E1360" s="45" t="n"/>
      <c r="F1360" s="45" t="n"/>
    </row>
    <row r="1361">
      <c r="A1361" s="16">
        <f>IF($B1361="","",COUNTA($B$4:$B1361))</f>
        <v/>
      </c>
      <c r="B1361" s="72" t="n"/>
      <c r="C1361" s="40" t="n"/>
      <c r="D1361" s="47" t="n"/>
      <c r="E1361" s="47" t="n"/>
      <c r="F1361" s="47" t="n"/>
    </row>
    <row r="1362">
      <c r="A1362" s="16">
        <f>IF($B1362="","",COUNTA($B$4:$B1362))</f>
        <v/>
      </c>
      <c r="B1362" s="71" t="n"/>
      <c r="C1362" s="38" t="n"/>
      <c r="D1362" s="45" t="n"/>
      <c r="E1362" s="45" t="n"/>
      <c r="F1362" s="45" t="n"/>
    </row>
    <row r="1363">
      <c r="A1363" s="16">
        <f>IF($B1363="","",COUNTA($B$4:$B1363))</f>
        <v/>
      </c>
      <c r="B1363" s="72" t="n"/>
      <c r="C1363" s="40" t="n"/>
      <c r="D1363" s="47" t="n"/>
      <c r="E1363" s="47" t="n"/>
      <c r="F1363" s="47" t="n"/>
    </row>
    <row r="1364">
      <c r="A1364" s="16">
        <f>IF($B1364="","",COUNTA($B$4:$B1364))</f>
        <v/>
      </c>
      <c r="B1364" s="71" t="n"/>
      <c r="C1364" s="38" t="n"/>
      <c r="D1364" s="45" t="n"/>
      <c r="E1364" s="45" t="n"/>
      <c r="F1364" s="45" t="n"/>
    </row>
    <row r="1365">
      <c r="A1365" s="16">
        <f>IF($B1365="","",COUNTA($B$4:$B1365))</f>
        <v/>
      </c>
      <c r="B1365" s="72" t="n"/>
      <c r="C1365" s="40" t="n"/>
      <c r="D1365" s="47" t="n"/>
      <c r="E1365" s="47" t="n"/>
      <c r="F1365" s="47" t="n"/>
    </row>
    <row r="1366">
      <c r="A1366" s="16">
        <f>IF($B1366="","",COUNTA($B$4:$B1366))</f>
        <v/>
      </c>
      <c r="B1366" s="71" t="n"/>
      <c r="C1366" s="38" t="n"/>
      <c r="D1366" s="45" t="n"/>
      <c r="E1366" s="45" t="n"/>
      <c r="F1366" s="45" t="n"/>
    </row>
    <row r="1367">
      <c r="A1367" s="16">
        <f>IF($B1367="","",COUNTA($B$4:$B1367))</f>
        <v/>
      </c>
      <c r="B1367" s="72" t="n"/>
      <c r="C1367" s="40" t="n"/>
      <c r="D1367" s="47" t="n"/>
      <c r="E1367" s="47" t="n"/>
      <c r="F1367" s="47" t="n"/>
    </row>
    <row r="1368">
      <c r="A1368" s="16">
        <f>IF($B1368="","",COUNTA($B$4:$B1368))</f>
        <v/>
      </c>
      <c r="B1368" s="71" t="n"/>
      <c r="C1368" s="38" t="n"/>
      <c r="D1368" s="45" t="n"/>
      <c r="E1368" s="45" t="n"/>
      <c r="F1368" s="45" t="n"/>
    </row>
    <row r="1369">
      <c r="A1369" s="16">
        <f>IF($B1369="","",COUNTA($B$4:$B1369))</f>
        <v/>
      </c>
      <c r="B1369" s="72" t="n"/>
      <c r="C1369" s="40" t="n"/>
      <c r="D1369" s="47" t="n"/>
      <c r="E1369" s="47" t="n"/>
      <c r="F1369" s="47" t="n"/>
    </row>
    <row r="1370">
      <c r="A1370" s="16">
        <f>IF($B1370="","",COUNTA($B$4:$B1370))</f>
        <v/>
      </c>
      <c r="B1370" s="71" t="n"/>
      <c r="C1370" s="38" t="n"/>
      <c r="D1370" s="45" t="n"/>
      <c r="E1370" s="45" t="n"/>
      <c r="F1370" s="45" t="n"/>
    </row>
    <row r="1371">
      <c r="A1371" s="16">
        <f>IF($B1371="","",COUNTA($B$4:$B1371))</f>
        <v/>
      </c>
      <c r="B1371" s="72" t="n"/>
      <c r="C1371" s="40" t="n"/>
      <c r="D1371" s="47" t="n"/>
      <c r="E1371" s="47" t="n"/>
      <c r="F1371" s="47" t="n"/>
    </row>
    <row r="1372">
      <c r="A1372" s="16">
        <f>IF($B1372="","",COUNTA($B$4:$B1372))</f>
        <v/>
      </c>
      <c r="B1372" s="71" t="n"/>
      <c r="C1372" s="38" t="n"/>
      <c r="D1372" s="45" t="n"/>
      <c r="E1372" s="45" t="n"/>
      <c r="F1372" s="45" t="n"/>
    </row>
    <row r="1373">
      <c r="A1373" s="16">
        <f>IF($B1373="","",COUNTA($B$4:$B1373))</f>
        <v/>
      </c>
      <c r="B1373" s="72" t="n"/>
      <c r="C1373" s="40" t="n"/>
      <c r="D1373" s="47" t="n"/>
      <c r="E1373" s="47" t="n"/>
      <c r="F1373" s="47" t="n"/>
    </row>
    <row r="1374">
      <c r="A1374" s="16">
        <f>IF($B1374="","",COUNTA($B$4:$B1374))</f>
        <v/>
      </c>
      <c r="B1374" s="71" t="n"/>
      <c r="C1374" s="38" t="n"/>
      <c r="D1374" s="45" t="n"/>
      <c r="E1374" s="45" t="n"/>
      <c r="F1374" s="45" t="n"/>
    </row>
    <row r="1375">
      <c r="A1375" s="16">
        <f>IF($B1375="","",COUNTA($B$4:$B1375))</f>
        <v/>
      </c>
      <c r="B1375" s="72" t="n"/>
      <c r="C1375" s="40" t="n"/>
      <c r="D1375" s="47" t="n"/>
      <c r="E1375" s="47" t="n"/>
      <c r="F1375" s="47" t="n"/>
    </row>
    <row r="1376">
      <c r="A1376" s="16">
        <f>IF($B1376="","",COUNTA($B$4:$B1376))</f>
        <v/>
      </c>
      <c r="B1376" s="71" t="n"/>
      <c r="C1376" s="38" t="n"/>
      <c r="D1376" s="45" t="n"/>
      <c r="E1376" s="45" t="n"/>
      <c r="F1376" s="45" t="n"/>
    </row>
    <row r="1377">
      <c r="A1377" s="16">
        <f>IF($B1377="","",COUNTA($B$4:$B1377))</f>
        <v/>
      </c>
      <c r="B1377" s="72" t="n"/>
      <c r="C1377" s="40" t="n"/>
      <c r="D1377" s="47" t="n"/>
      <c r="E1377" s="47" t="n"/>
      <c r="F1377" s="47" t="n"/>
    </row>
    <row r="1378">
      <c r="A1378" s="16">
        <f>IF($B1378="","",COUNTA($B$4:$B1378))</f>
        <v/>
      </c>
      <c r="B1378" s="71" t="n"/>
      <c r="C1378" s="38" t="n"/>
      <c r="D1378" s="45" t="n"/>
      <c r="E1378" s="45" t="n"/>
      <c r="F1378" s="45" t="n"/>
    </row>
    <row r="1379">
      <c r="A1379" s="16">
        <f>IF($B1379="","",COUNTA($B$4:$B1379))</f>
        <v/>
      </c>
      <c r="B1379" s="72" t="n"/>
      <c r="C1379" s="40" t="n"/>
      <c r="D1379" s="47" t="n"/>
      <c r="E1379" s="47" t="n"/>
      <c r="F1379" s="47" t="n"/>
    </row>
    <row r="1380">
      <c r="A1380" s="16">
        <f>IF($B1380="","",COUNTA($B$4:$B1380))</f>
        <v/>
      </c>
      <c r="B1380" s="71" t="n"/>
      <c r="C1380" s="38" t="n"/>
      <c r="D1380" s="45" t="n"/>
      <c r="E1380" s="45" t="n"/>
      <c r="F1380" s="45" t="n"/>
    </row>
    <row r="1381">
      <c r="A1381" s="16">
        <f>IF($B1381="","",COUNTA($B$4:$B1381))</f>
        <v/>
      </c>
      <c r="B1381" s="72" t="n"/>
      <c r="C1381" s="40" t="n"/>
      <c r="D1381" s="47" t="n"/>
      <c r="E1381" s="47" t="n"/>
      <c r="F1381" s="47" t="n"/>
    </row>
    <row r="1382">
      <c r="A1382" s="16">
        <f>IF($B1382="","",COUNTA($B$4:$B1382))</f>
        <v/>
      </c>
      <c r="B1382" s="71" t="n"/>
      <c r="C1382" s="38" t="n"/>
      <c r="D1382" s="45" t="n"/>
      <c r="E1382" s="45" t="n"/>
      <c r="F1382" s="45" t="n"/>
    </row>
    <row r="1383">
      <c r="A1383" s="16">
        <f>IF($B1383="","",COUNTA($B$4:$B1383))</f>
        <v/>
      </c>
      <c r="B1383" s="72" t="n"/>
      <c r="C1383" s="40" t="n"/>
      <c r="D1383" s="47" t="n"/>
      <c r="E1383" s="47" t="n"/>
      <c r="F1383" s="47" t="n"/>
    </row>
    <row r="1384">
      <c r="A1384" s="16">
        <f>IF($B1384="","",COUNTA($B$4:$B1384))</f>
        <v/>
      </c>
      <c r="B1384" s="71" t="n"/>
      <c r="C1384" s="38" t="n"/>
      <c r="D1384" s="45" t="n"/>
      <c r="E1384" s="45" t="n"/>
      <c r="F1384" s="45" t="n"/>
    </row>
    <row r="1385">
      <c r="A1385" s="16">
        <f>IF($B1385="","",COUNTA($B$4:$B1385))</f>
        <v/>
      </c>
      <c r="B1385" s="72" t="n"/>
      <c r="C1385" s="40" t="n"/>
      <c r="D1385" s="47" t="n"/>
      <c r="E1385" s="47" t="n"/>
      <c r="F1385" s="47" t="n"/>
    </row>
    <row r="1386">
      <c r="A1386" s="16">
        <f>IF($B1386="","",COUNTA($B$4:$B1386))</f>
        <v/>
      </c>
      <c r="B1386" s="71" t="n"/>
      <c r="C1386" s="38" t="n"/>
      <c r="D1386" s="45" t="n"/>
      <c r="E1386" s="45" t="n"/>
      <c r="F1386" s="45" t="n"/>
    </row>
    <row r="1387">
      <c r="A1387" s="16">
        <f>IF($B1387="","",COUNTA($B$4:$B1387))</f>
        <v/>
      </c>
      <c r="B1387" s="72" t="n"/>
      <c r="C1387" s="40" t="n"/>
      <c r="D1387" s="47" t="n"/>
      <c r="E1387" s="47" t="n"/>
      <c r="F1387" s="47" t="n"/>
    </row>
    <row r="1388">
      <c r="A1388" s="16">
        <f>IF($B1388="","",COUNTA($B$4:$B1388))</f>
        <v/>
      </c>
      <c r="B1388" s="71" t="n"/>
      <c r="C1388" s="38" t="n"/>
      <c r="D1388" s="45" t="n"/>
      <c r="E1388" s="45" t="n"/>
      <c r="F1388" s="45" t="n"/>
    </row>
    <row r="1389">
      <c r="A1389" s="16">
        <f>IF($B1389="","",COUNTA($B$4:$B1389))</f>
        <v/>
      </c>
      <c r="B1389" s="72" t="n"/>
      <c r="C1389" s="40" t="n"/>
      <c r="D1389" s="47" t="n"/>
      <c r="E1389" s="47" t="n"/>
      <c r="F1389" s="47" t="n"/>
    </row>
    <row r="1390">
      <c r="A1390" s="16">
        <f>IF($B1390="","",COUNTA($B$4:$B1390))</f>
        <v/>
      </c>
      <c r="B1390" s="71" t="n"/>
      <c r="C1390" s="38" t="n"/>
      <c r="D1390" s="45" t="n"/>
      <c r="E1390" s="45" t="n"/>
      <c r="F1390" s="45" t="n"/>
    </row>
    <row r="1391">
      <c r="A1391" s="16">
        <f>IF($B1391="","",COUNTA($B$4:$B1391))</f>
        <v/>
      </c>
      <c r="B1391" s="72" t="n"/>
      <c r="C1391" s="40" t="n"/>
      <c r="D1391" s="47" t="n"/>
      <c r="E1391" s="47" t="n"/>
      <c r="F1391" s="47" t="n"/>
    </row>
    <row r="1392">
      <c r="A1392" s="16">
        <f>IF($B1392="","",COUNTA($B$4:$B1392))</f>
        <v/>
      </c>
      <c r="B1392" s="71" t="n"/>
      <c r="C1392" s="38" t="n"/>
      <c r="D1392" s="45" t="n"/>
      <c r="E1392" s="45" t="n"/>
      <c r="F1392" s="45" t="n"/>
    </row>
    <row r="1393">
      <c r="A1393" s="16">
        <f>IF($B1393="","",COUNTA($B$4:$B1393))</f>
        <v/>
      </c>
      <c r="B1393" s="72" t="n"/>
      <c r="C1393" s="40" t="n"/>
      <c r="D1393" s="47" t="n"/>
      <c r="E1393" s="47" t="n"/>
      <c r="F1393" s="47" t="n"/>
    </row>
    <row r="1394">
      <c r="A1394" s="16">
        <f>IF($B1394="","",COUNTA($B$4:$B1394))</f>
        <v/>
      </c>
      <c r="B1394" s="71" t="n"/>
      <c r="C1394" s="38" t="n"/>
      <c r="D1394" s="45" t="n"/>
      <c r="E1394" s="45" t="n"/>
      <c r="F1394" s="45" t="n"/>
    </row>
    <row r="1395">
      <c r="A1395" s="16">
        <f>IF($B1395="","",COUNTA($B$4:$B1395))</f>
        <v/>
      </c>
      <c r="B1395" s="72" t="n"/>
      <c r="C1395" s="40" t="n"/>
      <c r="D1395" s="47" t="n"/>
      <c r="E1395" s="47" t="n"/>
      <c r="F1395" s="47" t="n"/>
    </row>
    <row r="1396">
      <c r="A1396" s="16">
        <f>IF($B1396="","",COUNTA($B$4:$B1396))</f>
        <v/>
      </c>
      <c r="B1396" s="71" t="n"/>
      <c r="C1396" s="38" t="n"/>
      <c r="D1396" s="45" t="n"/>
      <c r="E1396" s="45" t="n"/>
      <c r="F1396" s="45" t="n"/>
    </row>
    <row r="1397">
      <c r="A1397" s="16">
        <f>IF($B1397="","",COUNTA($B$4:$B1397))</f>
        <v/>
      </c>
      <c r="B1397" s="72" t="n"/>
      <c r="C1397" s="40" t="n"/>
      <c r="D1397" s="47" t="n"/>
      <c r="E1397" s="47" t="n"/>
      <c r="F1397" s="47" t="n"/>
    </row>
    <row r="1398">
      <c r="A1398" s="16">
        <f>IF($B1398="","",COUNTA($B$4:$B1398))</f>
        <v/>
      </c>
      <c r="B1398" s="71" t="n"/>
      <c r="C1398" s="38" t="n"/>
      <c r="D1398" s="45" t="n"/>
      <c r="E1398" s="45" t="n"/>
      <c r="F1398" s="45" t="n"/>
    </row>
    <row r="1399">
      <c r="A1399" s="16">
        <f>IF($B1399="","",COUNTA($B$4:$B1399))</f>
        <v/>
      </c>
      <c r="B1399" s="72" t="n"/>
      <c r="C1399" s="40" t="n"/>
      <c r="D1399" s="47" t="n"/>
      <c r="E1399" s="47" t="n"/>
      <c r="F1399" s="47" t="n"/>
    </row>
    <row r="1400">
      <c r="A1400" s="16">
        <f>IF($B1400="","",COUNTA($B$4:$B1400))</f>
        <v/>
      </c>
      <c r="B1400" s="71" t="n"/>
      <c r="C1400" s="38" t="n"/>
      <c r="D1400" s="45" t="n"/>
      <c r="E1400" s="45" t="n"/>
      <c r="F1400" s="45" t="n"/>
    </row>
    <row r="1401">
      <c r="A1401" s="16">
        <f>IF($B1401="","",COUNTA($B$4:$B1401))</f>
        <v/>
      </c>
      <c r="B1401" s="72" t="n"/>
      <c r="C1401" s="40" t="n"/>
      <c r="D1401" s="47" t="n"/>
      <c r="E1401" s="47" t="n"/>
      <c r="F1401" s="47" t="n"/>
    </row>
    <row r="1402">
      <c r="A1402" s="16">
        <f>IF($B1402="","",COUNTA($B$4:$B1402))</f>
        <v/>
      </c>
      <c r="B1402" s="71" t="n"/>
      <c r="C1402" s="38" t="n"/>
      <c r="D1402" s="45" t="n"/>
      <c r="E1402" s="45" t="n"/>
      <c r="F1402" s="45" t="n"/>
    </row>
    <row r="1403">
      <c r="A1403" s="16">
        <f>IF($B1403="","",COUNTA($B$4:$B1403))</f>
        <v/>
      </c>
      <c r="B1403" s="72" t="n"/>
      <c r="C1403" s="40" t="n"/>
      <c r="D1403" s="47" t="n"/>
      <c r="E1403" s="47" t="n"/>
      <c r="F1403" s="47" t="n"/>
    </row>
    <row r="1404">
      <c r="A1404" s="16">
        <f>IF($B1404="","",COUNTA($B$4:$B1404))</f>
        <v/>
      </c>
      <c r="B1404" s="71" t="n"/>
      <c r="C1404" s="38" t="n"/>
      <c r="D1404" s="45" t="n"/>
      <c r="E1404" s="45" t="n"/>
      <c r="F1404" s="45" t="n"/>
    </row>
    <row r="1405">
      <c r="A1405" s="16">
        <f>IF($B1405="","",COUNTA($B$4:$B1405))</f>
        <v/>
      </c>
      <c r="B1405" s="72" t="n"/>
      <c r="C1405" s="40" t="n"/>
      <c r="D1405" s="47" t="n"/>
      <c r="E1405" s="47" t="n"/>
      <c r="F1405" s="47" t="n"/>
    </row>
    <row r="1406">
      <c r="A1406" s="16">
        <f>IF($B1406="","",COUNTA($B$4:$B1406))</f>
        <v/>
      </c>
      <c r="B1406" s="71" t="n"/>
      <c r="C1406" s="38" t="n"/>
      <c r="D1406" s="45" t="n"/>
      <c r="E1406" s="45" t="n"/>
      <c r="F1406" s="45" t="n"/>
    </row>
    <row r="1407">
      <c r="A1407" s="16">
        <f>IF($B1407="","",COUNTA($B$4:$B1407))</f>
        <v/>
      </c>
      <c r="B1407" s="72" t="n"/>
      <c r="C1407" s="40" t="n"/>
      <c r="D1407" s="47" t="n"/>
      <c r="E1407" s="47" t="n"/>
      <c r="F1407" s="47" t="n"/>
    </row>
    <row r="1408">
      <c r="A1408" s="16">
        <f>IF($B1408="","",COUNTA($B$4:$B1408))</f>
        <v/>
      </c>
      <c r="B1408" s="71" t="n"/>
      <c r="C1408" s="38" t="n"/>
      <c r="D1408" s="45" t="n"/>
      <c r="E1408" s="45" t="n"/>
      <c r="F1408" s="45" t="n"/>
    </row>
    <row r="1409">
      <c r="A1409" s="16">
        <f>IF($B1409="","",COUNTA($B$4:$B1409))</f>
        <v/>
      </c>
      <c r="B1409" s="72" t="n"/>
      <c r="C1409" s="40" t="n"/>
      <c r="D1409" s="47" t="n"/>
      <c r="E1409" s="47" t="n"/>
      <c r="F1409" s="47" t="n"/>
    </row>
    <row r="1410">
      <c r="A1410" s="16">
        <f>IF($B1410="","",COUNTA($B$4:$B1410))</f>
        <v/>
      </c>
      <c r="B1410" s="71" t="n"/>
      <c r="C1410" s="38" t="n"/>
      <c r="D1410" s="45" t="n"/>
      <c r="E1410" s="45" t="n"/>
      <c r="F1410" s="45" t="n"/>
    </row>
    <row r="1411">
      <c r="A1411" s="16">
        <f>IF($B1411="","",COUNTA($B$4:$B1411))</f>
        <v/>
      </c>
      <c r="B1411" s="72" t="n"/>
      <c r="C1411" s="40" t="n"/>
      <c r="D1411" s="47" t="n"/>
      <c r="E1411" s="47" t="n"/>
      <c r="F1411" s="47" t="n"/>
    </row>
    <row r="1412">
      <c r="A1412" s="16">
        <f>IF($B1412="","",COUNTA($B$4:$B1412))</f>
        <v/>
      </c>
      <c r="B1412" s="71" t="n"/>
      <c r="C1412" s="38" t="n"/>
      <c r="D1412" s="45" t="n"/>
      <c r="E1412" s="45" t="n"/>
      <c r="F1412" s="45" t="n"/>
    </row>
    <row r="1413">
      <c r="A1413" s="16">
        <f>IF($B1413="","",COUNTA($B$4:$B1413))</f>
        <v/>
      </c>
      <c r="B1413" s="72" t="n"/>
      <c r="C1413" s="40" t="n"/>
      <c r="D1413" s="47" t="n"/>
      <c r="E1413" s="47" t="n"/>
      <c r="F1413" s="47" t="n"/>
    </row>
    <row r="1414">
      <c r="A1414" s="16">
        <f>IF($B1414="","",COUNTA($B$4:$B1414))</f>
        <v/>
      </c>
      <c r="B1414" s="71" t="n"/>
      <c r="C1414" s="38" t="n"/>
      <c r="D1414" s="45" t="n"/>
      <c r="E1414" s="45" t="n"/>
      <c r="F1414" s="45" t="n"/>
    </row>
    <row r="1415">
      <c r="A1415" s="16">
        <f>IF($B1415="","",COUNTA($B$4:$B1415))</f>
        <v/>
      </c>
      <c r="B1415" s="72" t="n"/>
      <c r="C1415" s="40" t="n"/>
      <c r="D1415" s="47" t="n"/>
      <c r="E1415" s="47" t="n"/>
      <c r="F1415" s="47" t="n"/>
    </row>
    <row r="1416">
      <c r="A1416" s="16">
        <f>IF($B1416="","",COUNTA($B$4:$B1416))</f>
        <v/>
      </c>
      <c r="B1416" s="71" t="n"/>
      <c r="C1416" s="38" t="n"/>
      <c r="D1416" s="45" t="n"/>
      <c r="E1416" s="45" t="n"/>
      <c r="F1416" s="45" t="n"/>
    </row>
    <row r="1417">
      <c r="A1417" s="16">
        <f>IF($B1417="","",COUNTA($B$4:$B1417))</f>
        <v/>
      </c>
      <c r="B1417" s="72" t="n"/>
      <c r="C1417" s="40" t="n"/>
      <c r="D1417" s="47" t="n"/>
      <c r="E1417" s="47" t="n"/>
      <c r="F1417" s="47" t="n"/>
    </row>
    <row r="1418">
      <c r="A1418" s="16">
        <f>IF($B1418="","",COUNTA($B$4:$B1418))</f>
        <v/>
      </c>
      <c r="B1418" s="71" t="n"/>
      <c r="C1418" s="38" t="n"/>
      <c r="D1418" s="45" t="n"/>
      <c r="E1418" s="45" t="n"/>
      <c r="F1418" s="45" t="n"/>
    </row>
    <row r="1419">
      <c r="A1419" s="16">
        <f>IF($B1419="","",COUNTA($B$4:$B1419))</f>
        <v/>
      </c>
      <c r="B1419" s="72" t="n"/>
      <c r="C1419" s="40" t="n"/>
      <c r="D1419" s="47" t="n"/>
      <c r="E1419" s="47" t="n"/>
      <c r="F1419" s="47" t="n"/>
    </row>
    <row r="1420">
      <c r="A1420" s="16">
        <f>IF($B1420="","",COUNTA($B$4:$B1420))</f>
        <v/>
      </c>
      <c r="B1420" s="71" t="n"/>
      <c r="C1420" s="38" t="n"/>
      <c r="D1420" s="45" t="n"/>
      <c r="E1420" s="45" t="n"/>
      <c r="F1420" s="45" t="n"/>
    </row>
    <row r="1421">
      <c r="A1421" s="16">
        <f>IF($B1421="","",COUNTA($B$4:$B1421))</f>
        <v/>
      </c>
      <c r="B1421" s="72" t="n"/>
      <c r="C1421" s="40" t="n"/>
      <c r="D1421" s="47" t="n"/>
      <c r="E1421" s="47" t="n"/>
      <c r="F1421" s="47" t="n"/>
    </row>
    <row r="1422">
      <c r="A1422" s="16">
        <f>IF($B1422="","",COUNTA($B$4:$B1422))</f>
        <v/>
      </c>
      <c r="B1422" s="71" t="n"/>
      <c r="C1422" s="38" t="n"/>
      <c r="D1422" s="45" t="n"/>
      <c r="E1422" s="45" t="n"/>
      <c r="F1422" s="45" t="n"/>
    </row>
    <row r="1423">
      <c r="A1423" s="16">
        <f>IF($B1423="","",COUNTA($B$4:$B1423))</f>
        <v/>
      </c>
      <c r="B1423" s="72" t="n"/>
      <c r="C1423" s="40" t="n"/>
      <c r="D1423" s="47" t="n"/>
      <c r="E1423" s="47" t="n"/>
      <c r="F1423" s="47" t="n"/>
    </row>
    <row r="1424">
      <c r="A1424" s="16">
        <f>IF($B1424="","",COUNTA($B$4:$B1424))</f>
        <v/>
      </c>
      <c r="B1424" s="71" t="n"/>
      <c r="C1424" s="38" t="n"/>
      <c r="D1424" s="45" t="n"/>
      <c r="E1424" s="45" t="n"/>
      <c r="F1424" s="45" t="n"/>
    </row>
    <row r="1425">
      <c r="A1425" s="16">
        <f>IF($B1425="","",COUNTA($B$4:$B1425))</f>
        <v/>
      </c>
      <c r="B1425" s="72" t="n"/>
      <c r="C1425" s="40" t="n"/>
      <c r="D1425" s="47" t="n"/>
      <c r="E1425" s="47" t="n"/>
      <c r="F1425" s="47" t="n"/>
    </row>
    <row r="1426">
      <c r="A1426" s="16">
        <f>IF($B1426="","",COUNTA($B$4:$B1426))</f>
        <v/>
      </c>
      <c r="B1426" s="71" t="n"/>
      <c r="C1426" s="38" t="n"/>
      <c r="D1426" s="45" t="n"/>
      <c r="E1426" s="45" t="n"/>
      <c r="F1426" s="45" t="n"/>
    </row>
    <row r="1427">
      <c r="A1427" s="16">
        <f>IF($B1427="","",COUNTA($B$4:$B1427))</f>
        <v/>
      </c>
      <c r="B1427" s="72" t="n"/>
      <c r="C1427" s="40" t="n"/>
      <c r="D1427" s="47" t="n"/>
      <c r="E1427" s="47" t="n"/>
      <c r="F1427" s="47" t="n"/>
    </row>
    <row r="1428">
      <c r="A1428" s="16">
        <f>IF($B1428="","",COUNTA($B$4:$B1428))</f>
        <v/>
      </c>
      <c r="B1428" s="71" t="n"/>
      <c r="C1428" s="38" t="n"/>
      <c r="D1428" s="45" t="n"/>
      <c r="E1428" s="45" t="n"/>
      <c r="F1428" s="45" t="n"/>
    </row>
    <row r="1429">
      <c r="A1429" s="16">
        <f>IF($B1429="","",COUNTA($B$4:$B1429))</f>
        <v/>
      </c>
      <c r="B1429" s="72" t="n"/>
      <c r="C1429" s="40" t="n"/>
      <c r="D1429" s="47" t="n"/>
      <c r="E1429" s="47" t="n"/>
      <c r="F1429" s="47" t="n"/>
    </row>
    <row r="1430">
      <c r="A1430" s="16">
        <f>IF($B1430="","",COUNTA($B$4:$B1430))</f>
        <v/>
      </c>
      <c r="B1430" s="71" t="n"/>
      <c r="C1430" s="38" t="n"/>
      <c r="D1430" s="45" t="n"/>
      <c r="E1430" s="45" t="n"/>
      <c r="F1430" s="45" t="n"/>
    </row>
    <row r="1431">
      <c r="A1431" s="16">
        <f>IF($B1431="","",COUNTA($B$4:$B1431))</f>
        <v/>
      </c>
      <c r="B1431" s="72" t="n"/>
      <c r="C1431" s="40" t="n"/>
      <c r="D1431" s="47" t="n"/>
      <c r="E1431" s="47" t="n"/>
      <c r="F1431" s="47" t="n"/>
    </row>
    <row r="1432">
      <c r="A1432" s="16">
        <f>IF($B1432="","",COUNTA($B$4:$B1432))</f>
        <v/>
      </c>
      <c r="B1432" s="71" t="n"/>
      <c r="C1432" s="38" t="n"/>
      <c r="D1432" s="45" t="n"/>
      <c r="E1432" s="45" t="n"/>
      <c r="F1432" s="45" t="n"/>
    </row>
    <row r="1433">
      <c r="A1433" s="16">
        <f>IF($B1433="","",COUNTA($B$4:$B1433))</f>
        <v/>
      </c>
      <c r="B1433" s="72" t="n"/>
      <c r="C1433" s="40" t="n"/>
      <c r="D1433" s="47" t="n"/>
      <c r="E1433" s="47" t="n"/>
      <c r="F1433" s="47" t="n"/>
    </row>
    <row r="1434">
      <c r="A1434" s="16">
        <f>IF($B1434="","",COUNTA($B$4:$B1434))</f>
        <v/>
      </c>
      <c r="B1434" s="71" t="n"/>
      <c r="C1434" s="38" t="n"/>
      <c r="D1434" s="45" t="n"/>
      <c r="E1434" s="45" t="n"/>
      <c r="F1434" s="45" t="n"/>
    </row>
    <row r="1435">
      <c r="A1435" s="16">
        <f>IF($B1435="","",COUNTA($B$4:$B1435))</f>
        <v/>
      </c>
      <c r="B1435" s="72" t="n"/>
      <c r="C1435" s="40" t="n"/>
      <c r="D1435" s="47" t="n"/>
      <c r="E1435" s="47" t="n"/>
      <c r="F1435" s="47" t="n"/>
    </row>
    <row r="1436">
      <c r="A1436" s="16">
        <f>IF($B1436="","",COUNTA($B$4:$B1436))</f>
        <v/>
      </c>
      <c r="B1436" s="71" t="n"/>
      <c r="C1436" s="38" t="n"/>
      <c r="D1436" s="45" t="n"/>
      <c r="E1436" s="45" t="n"/>
      <c r="F1436" s="45" t="n"/>
    </row>
    <row r="1437">
      <c r="A1437" s="16">
        <f>IF($B1437="","",COUNTA($B$4:$B1437))</f>
        <v/>
      </c>
      <c r="B1437" s="72" t="n"/>
      <c r="C1437" s="40" t="n"/>
      <c r="D1437" s="47" t="n"/>
      <c r="E1437" s="47" t="n"/>
      <c r="F1437" s="47" t="n"/>
    </row>
    <row r="1438">
      <c r="A1438" s="16">
        <f>IF($B1438="","",COUNTA($B$4:$B1438))</f>
        <v/>
      </c>
      <c r="B1438" s="71" t="n"/>
      <c r="C1438" s="38" t="n"/>
      <c r="D1438" s="45" t="n"/>
      <c r="E1438" s="45" t="n"/>
      <c r="F1438" s="45" t="n"/>
    </row>
    <row r="1439">
      <c r="A1439" s="16">
        <f>IF($B1439="","",COUNTA($B$4:$B1439))</f>
        <v/>
      </c>
      <c r="B1439" s="72" t="n"/>
      <c r="C1439" s="40" t="n"/>
      <c r="D1439" s="47" t="n"/>
      <c r="E1439" s="47" t="n"/>
      <c r="F1439" s="47" t="n"/>
    </row>
    <row r="1440">
      <c r="A1440" s="16">
        <f>IF($B1440="","",COUNTA($B$4:$B1440))</f>
        <v/>
      </c>
      <c r="B1440" s="71" t="n"/>
      <c r="C1440" s="38" t="n"/>
      <c r="D1440" s="45" t="n"/>
      <c r="E1440" s="45" t="n"/>
      <c r="F1440" s="45" t="n"/>
    </row>
    <row r="1441">
      <c r="A1441" s="16">
        <f>IF($B1441="","",COUNTA($B$4:$B1441))</f>
        <v/>
      </c>
      <c r="B1441" s="72" t="n"/>
      <c r="C1441" s="40" t="n"/>
      <c r="D1441" s="47" t="n"/>
      <c r="E1441" s="47" t="n"/>
      <c r="F1441" s="47" t="n"/>
    </row>
    <row r="1442">
      <c r="A1442" s="16">
        <f>IF($B1442="","",COUNTA($B$4:$B1442))</f>
        <v/>
      </c>
      <c r="B1442" s="71" t="n"/>
      <c r="C1442" s="38" t="n"/>
      <c r="D1442" s="45" t="n"/>
      <c r="E1442" s="45" t="n"/>
      <c r="F1442" s="45" t="n"/>
    </row>
    <row r="1443">
      <c r="A1443" s="16">
        <f>IF($B1443="","",COUNTA($B$4:$B1443))</f>
        <v/>
      </c>
      <c r="B1443" s="72" t="n"/>
      <c r="C1443" s="40" t="n"/>
      <c r="D1443" s="47" t="n"/>
      <c r="E1443" s="47" t="n"/>
      <c r="F1443" s="47" t="n"/>
    </row>
    <row r="1444">
      <c r="A1444" s="16">
        <f>IF($B1444="","",COUNTA($B$4:$B1444))</f>
        <v/>
      </c>
      <c r="B1444" s="71" t="n"/>
      <c r="C1444" s="38" t="n"/>
      <c r="D1444" s="45" t="n"/>
      <c r="E1444" s="45" t="n"/>
      <c r="F1444" s="45" t="n"/>
    </row>
    <row r="1445">
      <c r="A1445" s="16">
        <f>IF($B1445="","",COUNTA($B$4:$B1445))</f>
        <v/>
      </c>
      <c r="B1445" s="72" t="n"/>
      <c r="C1445" s="40" t="n"/>
      <c r="D1445" s="47" t="n"/>
      <c r="E1445" s="47" t="n"/>
      <c r="F1445" s="47" t="n"/>
    </row>
    <row r="1446">
      <c r="A1446" s="16">
        <f>IF($B1446="","",COUNTA($B$4:$B1446))</f>
        <v/>
      </c>
      <c r="B1446" s="71" t="n"/>
      <c r="C1446" s="38" t="n"/>
      <c r="D1446" s="45" t="n"/>
      <c r="E1446" s="45" t="n"/>
      <c r="F1446" s="45" t="n"/>
    </row>
    <row r="1447">
      <c r="A1447" s="16">
        <f>IF($B1447="","",COUNTA($B$4:$B1447))</f>
        <v/>
      </c>
      <c r="B1447" s="72" t="n"/>
      <c r="C1447" s="40" t="n"/>
      <c r="D1447" s="47" t="n"/>
      <c r="E1447" s="47" t="n"/>
      <c r="F1447" s="47" t="n"/>
    </row>
    <row r="1448">
      <c r="A1448" s="16">
        <f>IF($B1448="","",COUNTA($B$4:$B1448))</f>
        <v/>
      </c>
      <c r="B1448" s="71" t="n"/>
      <c r="C1448" s="38" t="n"/>
      <c r="D1448" s="45" t="n"/>
      <c r="E1448" s="45" t="n"/>
      <c r="F1448" s="45" t="n"/>
    </row>
    <row r="1449">
      <c r="A1449" s="16">
        <f>IF($B1449="","",COUNTA($B$4:$B1449))</f>
        <v/>
      </c>
      <c r="B1449" s="72" t="n"/>
      <c r="C1449" s="40" t="n"/>
      <c r="D1449" s="47" t="n"/>
      <c r="E1449" s="47" t="n"/>
      <c r="F1449" s="47" t="n"/>
    </row>
    <row r="1450">
      <c r="A1450" s="16">
        <f>IF($B1450="","",COUNTA($B$4:$B1450))</f>
        <v/>
      </c>
      <c r="B1450" s="71" t="n"/>
      <c r="C1450" s="38" t="n"/>
      <c r="D1450" s="45" t="n"/>
      <c r="E1450" s="45" t="n"/>
      <c r="F1450" s="45" t="n"/>
    </row>
    <row r="1451">
      <c r="A1451" s="16">
        <f>IF($B1451="","",COUNTA($B$4:$B1451))</f>
        <v/>
      </c>
      <c r="B1451" s="72" t="n"/>
      <c r="C1451" s="40" t="n"/>
      <c r="D1451" s="47" t="n"/>
      <c r="E1451" s="47" t="n"/>
      <c r="F1451" s="47" t="n"/>
    </row>
    <row r="1452">
      <c r="A1452" s="16">
        <f>IF($B1452="","",COUNTA($B$4:$B1452))</f>
        <v/>
      </c>
      <c r="B1452" s="71" t="n"/>
      <c r="C1452" s="38" t="n"/>
      <c r="D1452" s="45" t="n"/>
      <c r="E1452" s="45" t="n"/>
      <c r="F1452" s="45" t="n"/>
    </row>
    <row r="1453">
      <c r="A1453" s="16">
        <f>IF($B1453="","",COUNTA($B$4:$B1453))</f>
        <v/>
      </c>
      <c r="B1453" s="72" t="n"/>
      <c r="C1453" s="40" t="n"/>
      <c r="D1453" s="47" t="n"/>
      <c r="E1453" s="47" t="n"/>
      <c r="F1453" s="47" t="n"/>
    </row>
    <row r="1454">
      <c r="A1454" s="16">
        <f>IF($B1454="","",COUNTA($B$4:$B1454))</f>
        <v/>
      </c>
      <c r="B1454" s="71" t="n"/>
      <c r="C1454" s="38" t="n"/>
      <c r="D1454" s="45" t="n"/>
      <c r="E1454" s="45" t="n"/>
      <c r="F1454" s="45" t="n"/>
    </row>
    <row r="1455">
      <c r="A1455" s="16">
        <f>IF($B1455="","",COUNTA($B$4:$B1455))</f>
        <v/>
      </c>
      <c r="B1455" s="72" t="n"/>
      <c r="C1455" s="40" t="n"/>
      <c r="D1455" s="47" t="n"/>
      <c r="E1455" s="47" t="n"/>
      <c r="F1455" s="47" t="n"/>
    </row>
    <row r="1456">
      <c r="A1456" s="16">
        <f>IF($B1456="","",COUNTA($B$4:$B1456))</f>
        <v/>
      </c>
      <c r="B1456" s="71" t="n"/>
      <c r="C1456" s="38" t="n"/>
      <c r="D1456" s="45" t="n"/>
      <c r="E1456" s="45" t="n"/>
      <c r="F1456" s="45" t="n"/>
    </row>
    <row r="1457">
      <c r="A1457" s="16">
        <f>IF($B1457="","",COUNTA($B$4:$B1457))</f>
        <v/>
      </c>
      <c r="B1457" s="72" t="n"/>
      <c r="C1457" s="40" t="n"/>
      <c r="D1457" s="47" t="n"/>
      <c r="E1457" s="47" t="n"/>
      <c r="F1457" s="47" t="n"/>
    </row>
    <row r="1458">
      <c r="A1458" s="16">
        <f>IF($B1458="","",COUNTA($B$4:$B1458))</f>
        <v/>
      </c>
      <c r="B1458" s="71" t="n"/>
      <c r="C1458" s="38" t="n"/>
      <c r="D1458" s="45" t="n"/>
      <c r="E1458" s="45" t="n"/>
      <c r="F1458" s="45" t="n"/>
    </row>
    <row r="1459">
      <c r="A1459" s="16">
        <f>IF($B1459="","",COUNTA($B$4:$B1459))</f>
        <v/>
      </c>
      <c r="B1459" s="72" t="n"/>
      <c r="C1459" s="40" t="n"/>
      <c r="D1459" s="47" t="n"/>
      <c r="E1459" s="47" t="n"/>
      <c r="F1459" s="47" t="n"/>
    </row>
    <row r="1460">
      <c r="A1460" s="16">
        <f>IF($B1460="","",COUNTA($B$4:$B1460))</f>
        <v/>
      </c>
      <c r="B1460" s="71" t="n"/>
      <c r="C1460" s="38" t="n"/>
      <c r="D1460" s="45" t="n"/>
      <c r="E1460" s="45" t="n"/>
      <c r="F1460" s="45" t="n"/>
    </row>
    <row r="1461">
      <c r="A1461" s="16">
        <f>IF($B1461="","",COUNTA($B$4:$B1461))</f>
        <v/>
      </c>
      <c r="B1461" s="72" t="n"/>
      <c r="C1461" s="40" t="n"/>
      <c r="D1461" s="47" t="n"/>
      <c r="E1461" s="47" t="n"/>
      <c r="F1461" s="47" t="n"/>
    </row>
    <row r="1462">
      <c r="A1462" s="16">
        <f>IF($B1462="","",COUNTA($B$4:$B1462))</f>
        <v/>
      </c>
      <c r="B1462" s="71" t="n"/>
      <c r="C1462" s="38" t="n"/>
      <c r="D1462" s="45" t="n"/>
      <c r="E1462" s="45" t="n"/>
      <c r="F1462" s="45" t="n"/>
    </row>
    <row r="1463">
      <c r="A1463" s="16">
        <f>IF($B1463="","",COUNTA($B$4:$B1463))</f>
        <v/>
      </c>
      <c r="B1463" s="72" t="n"/>
      <c r="C1463" s="40" t="n"/>
      <c r="D1463" s="47" t="n"/>
      <c r="E1463" s="47" t="n"/>
      <c r="F1463" s="47" t="n"/>
    </row>
    <row r="1464">
      <c r="A1464" s="16">
        <f>IF($B1464="","",COUNTA($B$4:$B1464))</f>
        <v/>
      </c>
      <c r="B1464" s="71" t="n"/>
      <c r="C1464" s="38" t="n"/>
      <c r="D1464" s="45" t="n"/>
      <c r="E1464" s="45" t="n"/>
      <c r="F1464" s="45" t="n"/>
    </row>
    <row r="1465">
      <c r="A1465" s="16">
        <f>IF($B1465="","",COUNTA($B$4:$B1465))</f>
        <v/>
      </c>
      <c r="B1465" s="72" t="n"/>
      <c r="C1465" s="40" t="n"/>
      <c r="D1465" s="47" t="n"/>
      <c r="E1465" s="47" t="n"/>
      <c r="F1465" s="47" t="n"/>
    </row>
    <row r="1466">
      <c r="A1466" s="16">
        <f>IF($B1466="","",COUNTA($B$4:$B1466))</f>
        <v/>
      </c>
      <c r="B1466" s="71" t="n"/>
      <c r="C1466" s="38" t="n"/>
      <c r="D1466" s="45" t="n"/>
      <c r="E1466" s="45" t="n"/>
      <c r="F1466" s="45" t="n"/>
    </row>
    <row r="1467">
      <c r="A1467" s="16">
        <f>IF($B1467="","",COUNTA($B$4:$B1467))</f>
        <v/>
      </c>
      <c r="B1467" s="72" t="n"/>
      <c r="C1467" s="40" t="n"/>
      <c r="D1467" s="47" t="n"/>
      <c r="E1467" s="47" t="n"/>
      <c r="F1467" s="47" t="n"/>
    </row>
    <row r="1468">
      <c r="A1468" s="16">
        <f>IF($B1468="","",COUNTA($B$4:$B1468))</f>
        <v/>
      </c>
      <c r="B1468" s="71" t="n"/>
      <c r="C1468" s="38" t="n"/>
      <c r="D1468" s="45" t="n"/>
      <c r="E1468" s="45" t="n"/>
      <c r="F1468" s="45" t="n"/>
    </row>
    <row r="1469">
      <c r="A1469" s="16">
        <f>IF($B1469="","",COUNTA($B$4:$B1469))</f>
        <v/>
      </c>
      <c r="B1469" s="72" t="n"/>
      <c r="C1469" s="40" t="n"/>
      <c r="D1469" s="47" t="n"/>
      <c r="E1469" s="47" t="n"/>
      <c r="F1469" s="47" t="n"/>
    </row>
    <row r="1470">
      <c r="A1470" s="16">
        <f>IF($B1470="","",COUNTA($B$4:$B1470))</f>
        <v/>
      </c>
      <c r="B1470" s="71" t="n"/>
      <c r="C1470" s="38" t="n"/>
      <c r="D1470" s="45" t="n"/>
      <c r="E1470" s="45" t="n"/>
      <c r="F1470" s="45" t="n"/>
    </row>
    <row r="1471">
      <c r="A1471" s="16">
        <f>IF($B1471="","",COUNTA($B$4:$B1471))</f>
        <v/>
      </c>
      <c r="B1471" s="72" t="n"/>
      <c r="C1471" s="40" t="n"/>
      <c r="D1471" s="47" t="n"/>
      <c r="E1471" s="47" t="n"/>
      <c r="F1471" s="47" t="n"/>
    </row>
    <row r="1472">
      <c r="A1472" s="16">
        <f>IF($B1472="","",COUNTA($B$4:$B1472))</f>
        <v/>
      </c>
      <c r="B1472" s="71" t="n"/>
      <c r="C1472" s="38" t="n"/>
      <c r="D1472" s="45" t="n"/>
      <c r="E1472" s="45" t="n"/>
      <c r="F1472" s="45" t="n"/>
    </row>
    <row r="1473">
      <c r="A1473" s="16">
        <f>IF($B1473="","",COUNTA($B$4:$B1473))</f>
        <v/>
      </c>
      <c r="B1473" s="72" t="n"/>
      <c r="C1473" s="40" t="n"/>
      <c r="D1473" s="47" t="n"/>
      <c r="E1473" s="47" t="n"/>
      <c r="F1473" s="47" t="n"/>
    </row>
    <row r="1474">
      <c r="A1474" s="16">
        <f>IF($B1474="","",COUNTA($B$4:$B1474))</f>
        <v/>
      </c>
      <c r="B1474" s="71" t="n"/>
      <c r="C1474" s="38" t="n"/>
      <c r="D1474" s="45" t="n"/>
      <c r="E1474" s="45" t="n"/>
      <c r="F1474" s="45" t="n"/>
    </row>
    <row r="1475">
      <c r="A1475" s="16">
        <f>IF($B1475="","",COUNTA($B$4:$B1475))</f>
        <v/>
      </c>
      <c r="B1475" s="72" t="n"/>
      <c r="C1475" s="40" t="n"/>
      <c r="D1475" s="47" t="n"/>
      <c r="E1475" s="47" t="n"/>
      <c r="F1475" s="47" t="n"/>
    </row>
    <row r="1476">
      <c r="A1476" s="16">
        <f>IF($B1476="","",COUNTA($B$4:$B1476))</f>
        <v/>
      </c>
      <c r="B1476" s="71" t="n"/>
      <c r="C1476" s="38" t="n"/>
      <c r="D1476" s="45" t="n"/>
      <c r="E1476" s="45" t="n"/>
      <c r="F1476" s="45" t="n"/>
    </row>
    <row r="1477">
      <c r="A1477" s="16">
        <f>IF($B1477="","",COUNTA($B$4:$B1477))</f>
        <v/>
      </c>
      <c r="B1477" s="72" t="n"/>
      <c r="C1477" s="40" t="n"/>
      <c r="D1477" s="47" t="n"/>
      <c r="E1477" s="47" t="n"/>
      <c r="F1477" s="47" t="n"/>
    </row>
    <row r="1478">
      <c r="A1478" s="16">
        <f>IF($B1478="","",COUNTA($B$4:$B1478))</f>
        <v/>
      </c>
      <c r="B1478" s="71" t="n"/>
      <c r="C1478" s="38" t="n"/>
      <c r="D1478" s="45" t="n"/>
      <c r="E1478" s="45" t="n"/>
      <c r="F1478" s="45" t="n"/>
    </row>
    <row r="1479">
      <c r="A1479" s="16">
        <f>IF($B1479="","",COUNTA($B$4:$B1479))</f>
        <v/>
      </c>
      <c r="B1479" s="72" t="n"/>
      <c r="C1479" s="40" t="n"/>
      <c r="D1479" s="47" t="n"/>
      <c r="E1479" s="47" t="n"/>
      <c r="F1479" s="47" t="n"/>
    </row>
    <row r="1480">
      <c r="A1480" s="16">
        <f>IF($B1480="","",COUNTA($B$4:$B1480))</f>
        <v/>
      </c>
      <c r="B1480" s="71" t="n"/>
      <c r="C1480" s="38" t="n"/>
      <c r="D1480" s="45" t="n"/>
      <c r="E1480" s="45" t="n"/>
      <c r="F1480" s="45" t="n"/>
    </row>
    <row r="1481">
      <c r="A1481" s="16">
        <f>IF($B1481="","",COUNTA($B$4:$B1481))</f>
        <v/>
      </c>
      <c r="B1481" s="72" t="n"/>
      <c r="C1481" s="40" t="n"/>
      <c r="D1481" s="47" t="n"/>
      <c r="E1481" s="47" t="n"/>
      <c r="F1481" s="47" t="n"/>
    </row>
    <row r="1482">
      <c r="A1482" s="16">
        <f>IF($B1482="","",COUNTA($B$4:$B1482))</f>
        <v/>
      </c>
      <c r="B1482" s="71" t="n"/>
      <c r="C1482" s="38" t="n"/>
      <c r="D1482" s="45" t="n"/>
      <c r="E1482" s="45" t="n"/>
      <c r="F1482" s="45" t="n"/>
    </row>
    <row r="1483">
      <c r="A1483" s="16">
        <f>IF($B1483="","",COUNTA($B$4:$B1483))</f>
        <v/>
      </c>
      <c r="B1483" s="72" t="n"/>
      <c r="C1483" s="40" t="n"/>
      <c r="D1483" s="47" t="n"/>
      <c r="E1483" s="47" t="n"/>
      <c r="F1483" s="47" t="n"/>
    </row>
    <row r="1484">
      <c r="A1484" s="16">
        <f>IF($B1484="","",COUNTA($B$4:$B1484))</f>
        <v/>
      </c>
      <c r="B1484" s="71" t="n"/>
      <c r="C1484" s="38" t="n"/>
      <c r="D1484" s="45" t="n"/>
      <c r="E1484" s="45" t="n"/>
      <c r="F1484" s="45" t="n"/>
    </row>
    <row r="1485">
      <c r="A1485" s="16">
        <f>IF($B1485="","",COUNTA($B$4:$B1485))</f>
        <v/>
      </c>
      <c r="B1485" s="72" t="n"/>
      <c r="C1485" s="40" t="n"/>
      <c r="D1485" s="47" t="n"/>
      <c r="E1485" s="47" t="n"/>
      <c r="F1485" s="47" t="n"/>
    </row>
    <row r="1486">
      <c r="A1486" s="16">
        <f>IF($B1486="","",COUNTA($B$4:$B1486))</f>
        <v/>
      </c>
      <c r="B1486" s="71" t="n"/>
      <c r="C1486" s="38" t="n"/>
      <c r="D1486" s="45" t="n"/>
      <c r="E1486" s="45" t="n"/>
      <c r="F1486" s="45" t="n"/>
    </row>
    <row r="1487">
      <c r="A1487" s="16">
        <f>IF($B1487="","",COUNTA($B$4:$B1487))</f>
        <v/>
      </c>
      <c r="B1487" s="72" t="n"/>
      <c r="C1487" s="40" t="n"/>
      <c r="D1487" s="47" t="n"/>
      <c r="E1487" s="47" t="n"/>
      <c r="F1487" s="47" t="n"/>
    </row>
    <row r="1488">
      <c r="A1488" s="16">
        <f>IF($B1488="","",COUNTA($B$4:$B1488))</f>
        <v/>
      </c>
      <c r="B1488" s="71" t="n"/>
      <c r="C1488" s="38" t="n"/>
      <c r="D1488" s="45" t="n"/>
      <c r="E1488" s="45" t="n"/>
      <c r="F1488" s="45" t="n"/>
    </row>
    <row r="1489">
      <c r="A1489" s="16">
        <f>IF($B1489="","",COUNTA($B$4:$B1489))</f>
        <v/>
      </c>
      <c r="B1489" s="72" t="n"/>
      <c r="C1489" s="40" t="n"/>
      <c r="D1489" s="47" t="n"/>
      <c r="E1489" s="47" t="n"/>
      <c r="F1489" s="47" t="n"/>
    </row>
    <row r="1490">
      <c r="A1490" s="16">
        <f>IF($B1490="","",COUNTA($B$4:$B1490))</f>
        <v/>
      </c>
      <c r="B1490" s="71" t="n"/>
      <c r="C1490" s="38" t="n"/>
      <c r="D1490" s="45" t="n"/>
      <c r="E1490" s="45" t="n"/>
      <c r="F1490" s="45" t="n"/>
    </row>
    <row r="1491">
      <c r="A1491" s="16">
        <f>IF($B1491="","",COUNTA($B$4:$B1491))</f>
        <v/>
      </c>
      <c r="B1491" s="72" t="n"/>
      <c r="C1491" s="40" t="n"/>
      <c r="D1491" s="47" t="n"/>
      <c r="E1491" s="47" t="n"/>
      <c r="F1491" s="47" t="n"/>
    </row>
    <row r="1492">
      <c r="A1492" s="16">
        <f>IF($B1492="","",COUNTA($B$4:$B1492))</f>
        <v/>
      </c>
      <c r="B1492" s="71" t="n"/>
      <c r="C1492" s="38" t="n"/>
      <c r="D1492" s="45" t="n"/>
      <c r="E1492" s="45" t="n"/>
      <c r="F1492" s="45" t="n"/>
    </row>
    <row r="1493">
      <c r="A1493" s="16">
        <f>IF($B1493="","",COUNTA($B$4:$B1493))</f>
        <v/>
      </c>
      <c r="B1493" s="72" t="n"/>
      <c r="C1493" s="40" t="n"/>
      <c r="D1493" s="47" t="n"/>
      <c r="E1493" s="47" t="n"/>
      <c r="F1493" s="47" t="n"/>
    </row>
    <row r="1494">
      <c r="A1494" s="16">
        <f>IF($B1494="","",COUNTA($B$4:$B1494))</f>
        <v/>
      </c>
      <c r="B1494" s="71" t="n"/>
      <c r="C1494" s="38" t="n"/>
      <c r="D1494" s="45" t="n"/>
      <c r="E1494" s="45" t="n"/>
      <c r="F1494" s="45" t="n"/>
    </row>
    <row r="1495">
      <c r="A1495" s="16">
        <f>IF($B1495="","",COUNTA($B$4:$B1495))</f>
        <v/>
      </c>
      <c r="B1495" s="72" t="n"/>
      <c r="C1495" s="40" t="n"/>
      <c r="D1495" s="47" t="n"/>
      <c r="E1495" s="47" t="n"/>
      <c r="F1495" s="47" t="n"/>
    </row>
    <row r="1496">
      <c r="A1496" s="16">
        <f>IF($B1496="","",COUNTA($B$4:$B1496))</f>
        <v/>
      </c>
      <c r="B1496" s="71" t="n"/>
      <c r="C1496" s="38" t="n"/>
      <c r="D1496" s="45" t="n"/>
      <c r="E1496" s="45" t="n"/>
      <c r="F1496" s="45" t="n"/>
    </row>
    <row r="1497">
      <c r="A1497" s="16">
        <f>IF($B1497="","",COUNTA($B$4:$B1497))</f>
        <v/>
      </c>
      <c r="B1497" s="72" t="n"/>
      <c r="C1497" s="40" t="n"/>
      <c r="D1497" s="47" t="n"/>
      <c r="E1497" s="47" t="n"/>
      <c r="F1497" s="47" t="n"/>
    </row>
    <row r="1498">
      <c r="A1498" s="16">
        <f>IF($B1498="","",COUNTA($B$4:$B1498))</f>
        <v/>
      </c>
      <c r="B1498" s="71" t="n"/>
      <c r="C1498" s="38" t="n"/>
      <c r="D1498" s="45" t="n"/>
      <c r="E1498" s="45" t="n"/>
      <c r="F1498" s="45" t="n"/>
    </row>
    <row r="1499">
      <c r="A1499" s="16">
        <f>IF($B1499="","",COUNTA($B$4:$B1499))</f>
        <v/>
      </c>
      <c r="B1499" s="72" t="n"/>
      <c r="C1499" s="40" t="n"/>
      <c r="D1499" s="47" t="n"/>
      <c r="E1499" s="47" t="n"/>
      <c r="F1499" s="47" t="n"/>
    </row>
    <row r="1500">
      <c r="A1500" s="16">
        <f>IF($B1500="","",COUNTA($B$4:$B1500))</f>
        <v/>
      </c>
      <c r="B1500" s="71" t="n"/>
      <c r="C1500" s="38" t="n"/>
      <c r="D1500" s="45" t="n"/>
      <c r="E1500" s="45" t="n"/>
      <c r="F1500" s="45" t="n"/>
    </row>
    <row r="1501">
      <c r="A1501" s="16">
        <f>IF($B1501="","",COUNTA($B$4:$B1501))</f>
        <v/>
      </c>
      <c r="B1501" s="72" t="n"/>
      <c r="C1501" s="40" t="n"/>
      <c r="D1501" s="47" t="n"/>
      <c r="E1501" s="47" t="n"/>
      <c r="F1501" s="47" t="n"/>
    </row>
    <row r="1502">
      <c r="A1502" s="16">
        <f>IF($B1502="","",COUNTA($B$4:$B1502))</f>
        <v/>
      </c>
      <c r="B1502" s="71" t="n"/>
      <c r="C1502" s="38" t="n"/>
      <c r="D1502" s="45" t="n"/>
      <c r="E1502" s="45" t="n"/>
      <c r="F1502" s="45" t="n"/>
    </row>
    <row r="1503">
      <c r="A1503" s="16">
        <f>IF($B1503="","",COUNTA($B$4:$B1503))</f>
        <v/>
      </c>
      <c r="B1503" s="72" t="n"/>
      <c r="C1503" s="40" t="n"/>
      <c r="D1503" s="47" t="n"/>
      <c r="E1503" s="47" t="n"/>
      <c r="F1503" s="47" t="n"/>
    </row>
    <row r="1504">
      <c r="A1504" s="16">
        <f>IF($B1504="","",COUNTA($B$4:$B1504))</f>
        <v/>
      </c>
      <c r="B1504" s="71" t="n"/>
      <c r="C1504" s="38" t="n"/>
      <c r="D1504" s="45" t="n"/>
      <c r="E1504" s="45" t="n"/>
      <c r="F1504" s="45" t="n"/>
    </row>
    <row r="1505">
      <c r="A1505" s="16">
        <f>IF($B1505="","",COUNTA($B$4:$B1505))</f>
        <v/>
      </c>
      <c r="B1505" s="72" t="n"/>
      <c r="C1505" s="40" t="n"/>
      <c r="D1505" s="47" t="n"/>
      <c r="E1505" s="47" t="n"/>
      <c r="F1505" s="47" t="n"/>
    </row>
    <row r="1506">
      <c r="A1506" s="16">
        <f>IF($B1506="","",COUNTA($B$4:$B1506))</f>
        <v/>
      </c>
      <c r="B1506" s="71" t="n"/>
      <c r="C1506" s="38" t="n"/>
      <c r="D1506" s="45" t="n"/>
      <c r="E1506" s="45" t="n"/>
      <c r="F1506" s="45" t="n"/>
    </row>
    <row r="1507">
      <c r="A1507" s="16">
        <f>IF($B1507="","",COUNTA($B$4:$B1507))</f>
        <v/>
      </c>
      <c r="B1507" s="72" t="n"/>
      <c r="C1507" s="40" t="n"/>
      <c r="D1507" s="47" t="n"/>
      <c r="E1507" s="47" t="n"/>
      <c r="F1507" s="47" t="n"/>
    </row>
    <row r="1508">
      <c r="A1508" s="16">
        <f>IF($B1508="","",COUNTA($B$4:$B1508))</f>
        <v/>
      </c>
      <c r="B1508" s="71" t="n"/>
      <c r="C1508" s="38" t="n"/>
      <c r="D1508" s="45" t="n"/>
      <c r="E1508" s="45" t="n"/>
      <c r="F1508" s="45" t="n"/>
    </row>
    <row r="1509">
      <c r="A1509" s="16">
        <f>IF($B1509="","",COUNTA($B$4:$B1509))</f>
        <v/>
      </c>
      <c r="B1509" s="72" t="n"/>
      <c r="C1509" s="40" t="n"/>
      <c r="D1509" s="47" t="n"/>
      <c r="E1509" s="47" t="n"/>
      <c r="F1509" s="47" t="n"/>
    </row>
    <row r="1510">
      <c r="A1510" s="16">
        <f>IF($B1510="","",COUNTA($B$4:$B1510))</f>
        <v/>
      </c>
      <c r="B1510" s="71" t="n"/>
      <c r="C1510" s="38" t="n"/>
      <c r="D1510" s="45" t="n"/>
      <c r="E1510" s="45" t="n"/>
      <c r="F1510" s="45" t="n"/>
    </row>
    <row r="1511">
      <c r="A1511" s="16">
        <f>IF($B1511="","",COUNTA($B$4:$B1511))</f>
        <v/>
      </c>
      <c r="B1511" s="72" t="n"/>
      <c r="C1511" s="40" t="n"/>
      <c r="D1511" s="47" t="n"/>
      <c r="E1511" s="47" t="n"/>
      <c r="F1511" s="47" t="n"/>
    </row>
    <row r="1512">
      <c r="A1512" s="16">
        <f>IF($B1512="","",COUNTA($B$4:$B1512))</f>
        <v/>
      </c>
      <c r="B1512" s="71" t="n"/>
      <c r="C1512" s="38" t="n"/>
      <c r="D1512" s="45" t="n"/>
      <c r="E1512" s="45" t="n"/>
      <c r="F1512" s="45" t="n"/>
    </row>
    <row r="1513">
      <c r="A1513" s="16">
        <f>IF($B1513="","",COUNTA($B$4:$B1513))</f>
        <v/>
      </c>
      <c r="B1513" s="72" t="n"/>
      <c r="C1513" s="40" t="n"/>
      <c r="D1513" s="47" t="n"/>
      <c r="E1513" s="47" t="n"/>
      <c r="F1513" s="47" t="n"/>
    </row>
    <row r="1514">
      <c r="A1514" s="16">
        <f>IF($B1514="","",COUNTA($B$4:$B1514))</f>
        <v/>
      </c>
      <c r="B1514" s="71" t="n"/>
      <c r="C1514" s="38" t="n"/>
      <c r="D1514" s="45" t="n"/>
      <c r="E1514" s="45" t="n"/>
      <c r="F1514" s="45" t="n"/>
    </row>
    <row r="1515">
      <c r="A1515" s="16">
        <f>IF($B1515="","",COUNTA($B$4:$B1515))</f>
        <v/>
      </c>
      <c r="B1515" s="72" t="n"/>
      <c r="C1515" s="40" t="n"/>
      <c r="D1515" s="47" t="n"/>
      <c r="E1515" s="47" t="n"/>
      <c r="F1515" s="47" t="n"/>
    </row>
    <row r="1516">
      <c r="A1516" s="16">
        <f>IF($B1516="","",COUNTA($B$4:$B1516))</f>
        <v/>
      </c>
      <c r="B1516" s="71" t="n"/>
      <c r="C1516" s="38" t="n"/>
      <c r="D1516" s="45" t="n"/>
      <c r="E1516" s="45" t="n"/>
      <c r="F1516" s="45" t="n"/>
    </row>
    <row r="1517">
      <c r="A1517" s="16">
        <f>IF($B1517="","",COUNTA($B$4:$B1517))</f>
        <v/>
      </c>
      <c r="B1517" s="72" t="n"/>
      <c r="C1517" s="40" t="n"/>
      <c r="D1517" s="47" t="n"/>
      <c r="E1517" s="47" t="n"/>
      <c r="F1517" s="47" t="n"/>
    </row>
    <row r="1518">
      <c r="A1518" s="16">
        <f>IF($B1518="","",COUNTA($B$4:$B1518))</f>
        <v/>
      </c>
      <c r="B1518" s="71" t="n"/>
      <c r="C1518" s="38" t="n"/>
      <c r="D1518" s="45" t="n"/>
      <c r="E1518" s="45" t="n"/>
      <c r="F1518" s="45" t="n"/>
    </row>
    <row r="1519">
      <c r="A1519" s="16">
        <f>IF($B1519="","",COUNTA($B$4:$B1519))</f>
        <v/>
      </c>
      <c r="B1519" s="72" t="n"/>
      <c r="C1519" s="40" t="n"/>
      <c r="D1519" s="47" t="n"/>
      <c r="E1519" s="47" t="n"/>
      <c r="F1519" s="47" t="n"/>
    </row>
    <row r="1520">
      <c r="A1520" s="16">
        <f>IF($B1520="","",COUNTA($B$4:$B1520))</f>
        <v/>
      </c>
      <c r="B1520" s="71" t="n"/>
      <c r="C1520" s="38" t="n"/>
      <c r="D1520" s="45" t="n"/>
      <c r="E1520" s="45" t="n"/>
      <c r="F1520" s="45" t="n"/>
    </row>
    <row r="1521">
      <c r="A1521" s="16">
        <f>IF($B1521="","",COUNTA($B$4:$B1521))</f>
        <v/>
      </c>
      <c r="B1521" s="72" t="n"/>
      <c r="C1521" s="40" t="n"/>
      <c r="D1521" s="47" t="n"/>
      <c r="E1521" s="47" t="n"/>
      <c r="F1521" s="47" t="n"/>
    </row>
    <row r="1522">
      <c r="A1522" s="16">
        <f>IF($B1522="","",COUNTA($B$4:$B1522))</f>
        <v/>
      </c>
      <c r="B1522" s="71" t="n"/>
      <c r="C1522" s="38" t="n"/>
      <c r="D1522" s="45" t="n"/>
      <c r="E1522" s="45" t="n"/>
      <c r="F1522" s="45" t="n"/>
    </row>
    <row r="1523">
      <c r="A1523" s="16">
        <f>IF($B1523="","",COUNTA($B$4:$B1523))</f>
        <v/>
      </c>
      <c r="B1523" s="72" t="n"/>
      <c r="C1523" s="40" t="n"/>
      <c r="D1523" s="47" t="n"/>
      <c r="E1523" s="47" t="n"/>
      <c r="F1523" s="47" t="n"/>
    </row>
    <row r="1524">
      <c r="A1524" s="16">
        <f>IF($B1524="","",COUNTA($B$4:$B1524))</f>
        <v/>
      </c>
      <c r="B1524" s="71" t="n"/>
      <c r="C1524" s="38" t="n"/>
      <c r="D1524" s="45" t="n"/>
      <c r="E1524" s="45" t="n"/>
      <c r="F1524" s="45" t="n"/>
    </row>
    <row r="1525">
      <c r="A1525" s="16">
        <f>IF($B1525="","",COUNTA($B$4:$B1525))</f>
        <v/>
      </c>
      <c r="B1525" s="72" t="n"/>
      <c r="C1525" s="40" t="n"/>
      <c r="D1525" s="47" t="n"/>
      <c r="E1525" s="47" t="n"/>
      <c r="F1525" s="47" t="n"/>
    </row>
    <row r="1526">
      <c r="A1526" s="16">
        <f>IF($B1526="","",COUNTA($B$4:$B1526))</f>
        <v/>
      </c>
      <c r="B1526" s="71" t="n"/>
      <c r="C1526" s="38" t="n"/>
      <c r="D1526" s="45" t="n"/>
      <c r="E1526" s="45" t="n"/>
      <c r="F1526" s="45" t="n"/>
    </row>
    <row r="1527">
      <c r="A1527" s="16">
        <f>IF($B1527="","",COUNTA($B$4:$B1527))</f>
        <v/>
      </c>
      <c r="B1527" s="72" t="n"/>
      <c r="C1527" s="40" t="n"/>
      <c r="D1527" s="47" t="n"/>
      <c r="E1527" s="47" t="n"/>
      <c r="F1527" s="47" t="n"/>
    </row>
    <row r="1528">
      <c r="A1528" s="16">
        <f>IF($B1528="","",COUNTA($B$4:$B1528))</f>
        <v/>
      </c>
      <c r="B1528" s="71" t="n"/>
      <c r="C1528" s="38" t="n"/>
      <c r="D1528" s="45" t="n"/>
      <c r="E1528" s="45" t="n"/>
      <c r="F1528" s="45" t="n"/>
    </row>
    <row r="1529">
      <c r="A1529" s="16">
        <f>IF($B1529="","",COUNTA($B$4:$B1529))</f>
        <v/>
      </c>
      <c r="B1529" s="72" t="n"/>
      <c r="C1529" s="40" t="n"/>
      <c r="D1529" s="47" t="n"/>
      <c r="E1529" s="47" t="n"/>
      <c r="F1529" s="47" t="n"/>
    </row>
    <row r="1530">
      <c r="A1530" s="16">
        <f>IF($B1530="","",COUNTA($B$4:$B1530))</f>
        <v/>
      </c>
      <c r="B1530" s="71" t="n"/>
      <c r="C1530" s="38" t="n"/>
      <c r="D1530" s="45" t="n"/>
      <c r="E1530" s="45" t="n"/>
      <c r="F1530" s="45" t="n"/>
    </row>
    <row r="1531">
      <c r="A1531" s="16">
        <f>IF($B1531="","",COUNTA($B$4:$B1531))</f>
        <v/>
      </c>
      <c r="B1531" s="72" t="n"/>
      <c r="C1531" s="40" t="n"/>
      <c r="D1531" s="47" t="n"/>
      <c r="E1531" s="47" t="n"/>
      <c r="F1531" s="47" t="n"/>
    </row>
    <row r="1532">
      <c r="A1532" s="16">
        <f>IF($B1532="","",COUNTA($B$4:$B1532))</f>
        <v/>
      </c>
      <c r="B1532" s="71" t="n"/>
      <c r="C1532" s="38" t="n"/>
      <c r="D1532" s="45" t="n"/>
      <c r="E1532" s="45" t="n"/>
      <c r="F1532" s="45" t="n"/>
    </row>
    <row r="1533">
      <c r="A1533" s="16">
        <f>IF($B1533="","",COUNTA($B$4:$B1533))</f>
        <v/>
      </c>
      <c r="B1533" s="72" t="n"/>
      <c r="C1533" s="40" t="n"/>
      <c r="D1533" s="47" t="n"/>
      <c r="E1533" s="47" t="n"/>
      <c r="F1533" s="47" t="n"/>
    </row>
    <row r="1534">
      <c r="A1534" s="16">
        <f>IF($B1534="","",COUNTA($B$4:$B1534))</f>
        <v/>
      </c>
      <c r="B1534" s="71" t="n"/>
      <c r="C1534" s="38" t="n"/>
      <c r="D1534" s="45" t="n"/>
      <c r="E1534" s="45" t="n"/>
      <c r="F1534" s="45" t="n"/>
    </row>
    <row r="1535">
      <c r="A1535" s="16">
        <f>IF($B1535="","",COUNTA($B$4:$B1535))</f>
        <v/>
      </c>
      <c r="B1535" s="72" t="n"/>
      <c r="C1535" s="40" t="n"/>
      <c r="D1535" s="47" t="n"/>
      <c r="E1535" s="47" t="n"/>
      <c r="F1535" s="47" t="n"/>
    </row>
    <row r="1536">
      <c r="A1536" s="16">
        <f>IF($B1536="","",COUNTA($B$4:$B1536))</f>
        <v/>
      </c>
      <c r="B1536" s="71" t="n"/>
      <c r="C1536" s="38" t="n"/>
      <c r="D1536" s="45" t="n"/>
      <c r="E1536" s="45" t="n"/>
      <c r="F1536" s="45" t="n"/>
    </row>
    <row r="1537">
      <c r="A1537" s="16">
        <f>IF($B1537="","",COUNTA($B$4:$B1537))</f>
        <v/>
      </c>
      <c r="B1537" s="72" t="n"/>
      <c r="C1537" s="40" t="n"/>
      <c r="D1537" s="47" t="n"/>
      <c r="E1537" s="47" t="n"/>
      <c r="F1537" s="47" t="n"/>
    </row>
    <row r="1538">
      <c r="A1538" s="16">
        <f>IF($B1538="","",COUNTA($B$4:$B1538))</f>
        <v/>
      </c>
      <c r="B1538" s="71" t="n"/>
      <c r="C1538" s="38" t="n"/>
      <c r="D1538" s="45" t="n"/>
      <c r="E1538" s="45" t="n"/>
      <c r="F1538" s="45" t="n"/>
    </row>
    <row r="1539">
      <c r="A1539" s="16">
        <f>IF($B1539="","",COUNTA($B$4:$B1539))</f>
        <v/>
      </c>
      <c r="B1539" s="72" t="n"/>
      <c r="C1539" s="40" t="n"/>
      <c r="D1539" s="47" t="n"/>
      <c r="E1539" s="47" t="n"/>
      <c r="F1539" s="47" t="n"/>
    </row>
    <row r="1540">
      <c r="A1540" s="16">
        <f>IF($B1540="","",COUNTA($B$4:$B1540))</f>
        <v/>
      </c>
      <c r="B1540" s="71" t="n"/>
      <c r="C1540" s="38" t="n"/>
      <c r="D1540" s="45" t="n"/>
      <c r="E1540" s="45" t="n"/>
      <c r="F1540" s="45" t="n"/>
    </row>
    <row r="1541">
      <c r="A1541" s="16">
        <f>IF($B1541="","",COUNTA($B$4:$B1541))</f>
        <v/>
      </c>
      <c r="B1541" s="72" t="n"/>
      <c r="C1541" s="40" t="n"/>
      <c r="D1541" s="47" t="n"/>
      <c r="E1541" s="47" t="n"/>
      <c r="F1541" s="47" t="n"/>
    </row>
    <row r="1542">
      <c r="A1542" s="16">
        <f>IF($B1542="","",COUNTA($B$4:$B1542))</f>
        <v/>
      </c>
      <c r="B1542" s="71" t="n"/>
      <c r="C1542" s="38" t="n"/>
      <c r="D1542" s="45" t="n"/>
      <c r="E1542" s="45" t="n"/>
      <c r="F1542" s="45" t="n"/>
    </row>
    <row r="1543">
      <c r="A1543" s="16">
        <f>IF($B1543="","",COUNTA($B$4:$B1543))</f>
        <v/>
      </c>
      <c r="B1543" s="72" t="n"/>
      <c r="C1543" s="40" t="n"/>
      <c r="D1543" s="47" t="n"/>
      <c r="E1543" s="47" t="n"/>
      <c r="F1543" s="47" t="n"/>
    </row>
    <row r="1544">
      <c r="A1544" s="16">
        <f>IF($B1544="","",COUNTA($B$4:$B1544))</f>
        <v/>
      </c>
      <c r="B1544" s="71" t="n"/>
      <c r="C1544" s="38" t="n"/>
      <c r="D1544" s="45" t="n"/>
      <c r="E1544" s="45" t="n"/>
      <c r="F1544" s="45" t="n"/>
    </row>
    <row r="1545">
      <c r="A1545" s="16">
        <f>IF($B1545="","",COUNTA($B$4:$B1545))</f>
        <v/>
      </c>
      <c r="B1545" s="72" t="n"/>
      <c r="C1545" s="40" t="n"/>
      <c r="D1545" s="47" t="n"/>
      <c r="E1545" s="47" t="n"/>
      <c r="F1545" s="47" t="n"/>
    </row>
    <row r="1546">
      <c r="A1546" s="16">
        <f>IF($B1546="","",COUNTA($B$4:$B1546))</f>
        <v/>
      </c>
      <c r="B1546" s="71" t="n"/>
      <c r="C1546" s="38" t="n"/>
      <c r="D1546" s="45" t="n"/>
      <c r="E1546" s="45" t="n"/>
      <c r="F1546" s="45" t="n"/>
    </row>
    <row r="1547">
      <c r="A1547" s="16">
        <f>IF($B1547="","",COUNTA($B$4:$B1547))</f>
        <v/>
      </c>
      <c r="B1547" s="72" t="n"/>
      <c r="C1547" s="40" t="n"/>
      <c r="D1547" s="47" t="n"/>
      <c r="E1547" s="47" t="n"/>
      <c r="F1547" s="47" t="n"/>
    </row>
    <row r="1548">
      <c r="A1548" s="16">
        <f>IF($B1548="","",COUNTA($B$4:$B1548))</f>
        <v/>
      </c>
      <c r="B1548" s="71" t="n"/>
      <c r="C1548" s="38" t="n"/>
      <c r="D1548" s="45" t="n"/>
      <c r="E1548" s="45" t="n"/>
      <c r="F1548" s="45" t="n"/>
    </row>
    <row r="1549">
      <c r="A1549" s="16">
        <f>IF($B1549="","",COUNTA($B$4:$B1549))</f>
        <v/>
      </c>
      <c r="B1549" s="72" t="n"/>
      <c r="C1549" s="40" t="n"/>
      <c r="D1549" s="47" t="n"/>
      <c r="E1549" s="47" t="n"/>
      <c r="F1549" s="47" t="n"/>
    </row>
    <row r="1550">
      <c r="A1550" s="16">
        <f>IF($B1550="","",COUNTA($B$4:$B1550))</f>
        <v/>
      </c>
      <c r="B1550" s="71" t="n"/>
      <c r="C1550" s="38" t="n"/>
      <c r="D1550" s="45" t="n"/>
      <c r="E1550" s="45" t="n"/>
      <c r="F1550" s="45" t="n"/>
    </row>
    <row r="1551">
      <c r="A1551" s="16">
        <f>IF($B1551="","",COUNTA($B$4:$B1551))</f>
        <v/>
      </c>
      <c r="B1551" s="72" t="n"/>
      <c r="C1551" s="40" t="n"/>
      <c r="D1551" s="47" t="n"/>
      <c r="E1551" s="47" t="n"/>
      <c r="F1551" s="47" t="n"/>
    </row>
    <row r="1552">
      <c r="A1552" s="16">
        <f>IF($B1552="","",COUNTA($B$4:$B1552))</f>
        <v/>
      </c>
      <c r="B1552" s="71" t="n"/>
      <c r="C1552" s="38" t="n"/>
      <c r="D1552" s="45" t="n"/>
      <c r="E1552" s="45" t="n"/>
      <c r="F1552" s="45" t="n"/>
    </row>
    <row r="1553">
      <c r="A1553" s="16">
        <f>IF($B1553="","",COUNTA($B$4:$B1553))</f>
        <v/>
      </c>
      <c r="B1553" s="72" t="n"/>
      <c r="C1553" s="40" t="n"/>
      <c r="D1553" s="47" t="n"/>
      <c r="E1553" s="47" t="n"/>
      <c r="F1553" s="47" t="n"/>
    </row>
    <row r="1554">
      <c r="A1554" s="16">
        <f>IF($B1554="","",COUNTA($B$4:$B1554))</f>
        <v/>
      </c>
      <c r="B1554" s="71" t="n"/>
      <c r="C1554" s="38" t="n"/>
      <c r="D1554" s="45" t="n"/>
      <c r="E1554" s="45" t="n"/>
      <c r="F1554" s="45" t="n"/>
    </row>
    <row r="1555">
      <c r="A1555" s="16">
        <f>IF($B1555="","",COUNTA($B$4:$B1555))</f>
        <v/>
      </c>
      <c r="B1555" s="72" t="n"/>
      <c r="C1555" s="40" t="n"/>
      <c r="D1555" s="47" t="n"/>
      <c r="E1555" s="47" t="n"/>
      <c r="F1555" s="47" t="n"/>
    </row>
    <row r="1556">
      <c r="A1556" s="16">
        <f>IF($B1556="","",COUNTA($B$4:$B1556))</f>
        <v/>
      </c>
      <c r="B1556" s="71" t="n"/>
      <c r="C1556" s="38" t="n"/>
      <c r="D1556" s="45" t="n"/>
      <c r="E1556" s="45" t="n"/>
      <c r="F1556" s="45" t="n"/>
    </row>
    <row r="1557">
      <c r="A1557" s="16">
        <f>IF($B1557="","",COUNTA($B$4:$B1557))</f>
        <v/>
      </c>
      <c r="B1557" s="72" t="n"/>
      <c r="C1557" s="40" t="n"/>
      <c r="D1557" s="47" t="n"/>
      <c r="E1557" s="47" t="n"/>
      <c r="F1557" s="47" t="n"/>
    </row>
    <row r="1558">
      <c r="A1558" s="16">
        <f>IF($B1558="","",COUNTA($B$4:$B1558))</f>
        <v/>
      </c>
      <c r="B1558" s="71" t="n"/>
      <c r="C1558" s="38" t="n"/>
      <c r="D1558" s="45" t="n"/>
      <c r="E1558" s="45" t="n"/>
      <c r="F1558" s="45" t="n"/>
    </row>
    <row r="1559">
      <c r="A1559" s="16">
        <f>IF($B1559="","",COUNTA($B$4:$B1559))</f>
        <v/>
      </c>
      <c r="B1559" s="72" t="n"/>
      <c r="C1559" s="40" t="n"/>
      <c r="D1559" s="47" t="n"/>
      <c r="E1559" s="47" t="n"/>
      <c r="F1559" s="47" t="n"/>
    </row>
    <row r="1560">
      <c r="A1560" s="16">
        <f>IF($B1560="","",COUNTA($B$4:$B1560))</f>
        <v/>
      </c>
      <c r="B1560" s="71" t="n"/>
      <c r="C1560" s="38" t="n"/>
      <c r="D1560" s="45" t="n"/>
      <c r="E1560" s="45" t="n"/>
      <c r="F1560" s="45" t="n"/>
    </row>
    <row r="1561">
      <c r="A1561" s="16">
        <f>IF($B1561="","",COUNTA($B$4:$B1561))</f>
        <v/>
      </c>
      <c r="B1561" s="72" t="n"/>
      <c r="C1561" s="40" t="n"/>
      <c r="D1561" s="47" t="n"/>
      <c r="E1561" s="47" t="n"/>
      <c r="F1561" s="47" t="n"/>
    </row>
    <row r="1562">
      <c r="A1562" s="16">
        <f>IF($B1562="","",COUNTA($B$4:$B1562))</f>
        <v/>
      </c>
      <c r="B1562" s="71" t="n"/>
      <c r="C1562" s="38" t="n"/>
      <c r="D1562" s="45" t="n"/>
      <c r="E1562" s="45" t="n"/>
      <c r="F1562" s="45" t="n"/>
    </row>
    <row r="1563">
      <c r="A1563" s="16">
        <f>IF($B1563="","",COUNTA($B$4:$B1563))</f>
        <v/>
      </c>
      <c r="B1563" s="72" t="n"/>
      <c r="C1563" s="40" t="n"/>
      <c r="D1563" s="47" t="n"/>
      <c r="E1563" s="47" t="n"/>
      <c r="F1563" s="47" t="n"/>
    </row>
    <row r="1564">
      <c r="A1564" s="16">
        <f>IF($B1564="","",COUNTA($B$4:$B1564))</f>
        <v/>
      </c>
      <c r="B1564" s="71" t="n"/>
      <c r="C1564" s="38" t="n"/>
      <c r="D1564" s="45" t="n"/>
      <c r="E1564" s="45" t="n"/>
      <c r="F1564" s="45" t="n"/>
    </row>
    <row r="1565">
      <c r="A1565" s="16">
        <f>IF($B1565="","",COUNTA($B$4:$B1565))</f>
        <v/>
      </c>
      <c r="B1565" s="72" t="n"/>
      <c r="C1565" s="40" t="n"/>
      <c r="D1565" s="47" t="n"/>
      <c r="E1565" s="47" t="n"/>
      <c r="F1565" s="47" t="n"/>
    </row>
    <row r="1566">
      <c r="A1566" s="16">
        <f>IF($B1566="","",COUNTA($B$4:$B1566))</f>
        <v/>
      </c>
      <c r="B1566" s="71" t="n"/>
      <c r="C1566" s="38" t="n"/>
      <c r="D1566" s="45" t="n"/>
      <c r="E1566" s="45" t="n"/>
      <c r="F1566" s="45" t="n"/>
    </row>
    <row r="1567">
      <c r="A1567" s="16">
        <f>IF($B1567="","",COUNTA($B$4:$B1567))</f>
        <v/>
      </c>
      <c r="B1567" s="72" t="n"/>
      <c r="C1567" s="40" t="n"/>
      <c r="D1567" s="47" t="n"/>
      <c r="E1567" s="47" t="n"/>
      <c r="F1567" s="47" t="n"/>
    </row>
    <row r="1568">
      <c r="A1568" s="16">
        <f>IF($B1568="","",COUNTA($B$4:$B1568))</f>
        <v/>
      </c>
      <c r="B1568" s="71" t="n"/>
      <c r="C1568" s="38" t="n"/>
      <c r="D1568" s="45" t="n"/>
      <c r="E1568" s="45" t="n"/>
      <c r="F1568" s="45" t="n"/>
    </row>
    <row r="1569">
      <c r="A1569" s="16">
        <f>IF($B1569="","",COUNTA($B$4:$B1569))</f>
        <v/>
      </c>
      <c r="B1569" s="72" t="n"/>
      <c r="C1569" s="40" t="n"/>
      <c r="D1569" s="47" t="n"/>
      <c r="E1569" s="47" t="n"/>
      <c r="F1569" s="47" t="n"/>
    </row>
    <row r="1570">
      <c r="A1570" s="16">
        <f>IF($B1570="","",COUNTA($B$4:$B1570))</f>
        <v/>
      </c>
      <c r="B1570" s="71" t="n"/>
      <c r="C1570" s="38" t="n"/>
      <c r="D1570" s="45" t="n"/>
      <c r="E1570" s="45" t="n"/>
      <c r="F1570" s="45" t="n"/>
    </row>
    <row r="1571">
      <c r="A1571" s="16">
        <f>IF($B1571="","",COUNTA($B$4:$B1571))</f>
        <v/>
      </c>
      <c r="B1571" s="72" t="n"/>
      <c r="C1571" s="40" t="n"/>
      <c r="D1571" s="47" t="n"/>
      <c r="E1571" s="47" t="n"/>
      <c r="F1571" s="47" t="n"/>
    </row>
    <row r="1572">
      <c r="A1572" s="16">
        <f>IF($B1572="","",COUNTA($B$4:$B1572))</f>
        <v/>
      </c>
      <c r="B1572" s="71" t="n"/>
      <c r="C1572" s="38" t="n"/>
      <c r="D1572" s="45" t="n"/>
      <c r="E1572" s="45" t="n"/>
      <c r="F1572" s="45" t="n"/>
    </row>
    <row r="1573">
      <c r="A1573" s="16">
        <f>IF($B1573="","",COUNTA($B$4:$B1573))</f>
        <v/>
      </c>
      <c r="B1573" s="72" t="n"/>
      <c r="C1573" s="40" t="n"/>
      <c r="D1573" s="47" t="n"/>
      <c r="E1573" s="47" t="n"/>
      <c r="F1573" s="47" t="n"/>
    </row>
    <row r="1574">
      <c r="A1574" s="16">
        <f>IF($B1574="","",COUNTA($B$4:$B1574))</f>
        <v/>
      </c>
      <c r="B1574" s="71" t="n"/>
      <c r="C1574" s="38" t="n"/>
      <c r="D1574" s="45" t="n"/>
      <c r="E1574" s="45" t="n"/>
      <c r="F1574" s="45" t="n"/>
    </row>
    <row r="1575">
      <c r="A1575" s="16">
        <f>IF($B1575="","",COUNTA($B$4:$B1575))</f>
        <v/>
      </c>
      <c r="B1575" s="72" t="n"/>
      <c r="C1575" s="40" t="n"/>
      <c r="D1575" s="47" t="n"/>
      <c r="E1575" s="47" t="n"/>
      <c r="F1575" s="47" t="n"/>
    </row>
    <row r="1576">
      <c r="A1576" s="16">
        <f>IF($B1576="","",COUNTA($B$4:$B1576))</f>
        <v/>
      </c>
      <c r="B1576" s="71" t="n"/>
      <c r="C1576" s="38" t="n"/>
      <c r="D1576" s="45" t="n"/>
      <c r="E1576" s="45" t="n"/>
      <c r="F1576" s="45" t="n"/>
    </row>
    <row r="1577">
      <c r="A1577" s="16">
        <f>IF($B1577="","",COUNTA($B$4:$B1577))</f>
        <v/>
      </c>
      <c r="B1577" s="72" t="n"/>
      <c r="C1577" s="40" t="n"/>
      <c r="D1577" s="47" t="n"/>
      <c r="E1577" s="47" t="n"/>
      <c r="F1577" s="47" t="n"/>
    </row>
    <row r="1578">
      <c r="A1578" s="16">
        <f>IF($B1578="","",COUNTA($B$4:$B1578))</f>
        <v/>
      </c>
      <c r="B1578" s="71" t="n"/>
      <c r="C1578" s="38" t="n"/>
      <c r="D1578" s="45" t="n"/>
      <c r="E1578" s="45" t="n"/>
      <c r="F1578" s="45" t="n"/>
    </row>
    <row r="1579">
      <c r="A1579" s="16">
        <f>IF($B1579="","",COUNTA($B$4:$B1579))</f>
        <v/>
      </c>
      <c r="B1579" s="72" t="n"/>
      <c r="C1579" s="40" t="n"/>
      <c r="D1579" s="47" t="n"/>
      <c r="E1579" s="47" t="n"/>
      <c r="F1579" s="47" t="n"/>
    </row>
    <row r="1580">
      <c r="A1580" s="16">
        <f>IF($B1580="","",COUNTA($B$4:$B1580))</f>
        <v/>
      </c>
      <c r="B1580" s="71" t="n"/>
      <c r="C1580" s="38" t="n"/>
      <c r="D1580" s="45" t="n"/>
      <c r="E1580" s="45" t="n"/>
      <c r="F1580" s="45" t="n"/>
    </row>
    <row r="1581">
      <c r="A1581" s="16">
        <f>IF($B1581="","",COUNTA($B$4:$B1581))</f>
        <v/>
      </c>
      <c r="B1581" s="72" t="n"/>
      <c r="C1581" s="40" t="n"/>
      <c r="D1581" s="47" t="n"/>
      <c r="E1581" s="47" t="n"/>
      <c r="F1581" s="47" t="n"/>
    </row>
    <row r="1582">
      <c r="A1582" s="16">
        <f>IF($B1582="","",COUNTA($B$4:$B1582))</f>
        <v/>
      </c>
      <c r="B1582" s="71" t="n"/>
      <c r="C1582" s="38" t="n"/>
      <c r="D1582" s="45" t="n"/>
      <c r="E1582" s="45" t="n"/>
      <c r="F1582" s="45" t="n"/>
    </row>
    <row r="1583">
      <c r="A1583" s="16">
        <f>IF($B1583="","",COUNTA($B$4:$B1583))</f>
        <v/>
      </c>
      <c r="B1583" s="72" t="n"/>
      <c r="C1583" s="40" t="n"/>
      <c r="D1583" s="47" t="n"/>
      <c r="E1583" s="47" t="n"/>
      <c r="F1583" s="47" t="n"/>
    </row>
    <row r="1584">
      <c r="A1584" s="16">
        <f>IF($B1584="","",COUNTA($B$4:$B1584))</f>
        <v/>
      </c>
      <c r="B1584" s="71" t="n"/>
      <c r="C1584" s="38" t="n"/>
      <c r="D1584" s="45" t="n"/>
      <c r="E1584" s="45" t="n"/>
      <c r="F1584" s="45" t="n"/>
    </row>
    <row r="1585">
      <c r="A1585" s="16">
        <f>IF($B1585="","",COUNTA($B$4:$B1585))</f>
        <v/>
      </c>
      <c r="B1585" s="72" t="n"/>
      <c r="C1585" s="40" t="n"/>
      <c r="D1585" s="47" t="n"/>
      <c r="E1585" s="47" t="n"/>
      <c r="F1585" s="47" t="n"/>
    </row>
    <row r="1586">
      <c r="A1586" s="16">
        <f>IF($B1586="","",COUNTA($B$4:$B1586))</f>
        <v/>
      </c>
      <c r="B1586" s="71" t="n"/>
      <c r="C1586" s="38" t="n"/>
      <c r="D1586" s="45" t="n"/>
      <c r="E1586" s="45" t="n"/>
      <c r="F1586" s="45" t="n"/>
    </row>
    <row r="1587">
      <c r="A1587" s="16">
        <f>IF($B1587="","",COUNTA($B$4:$B1587))</f>
        <v/>
      </c>
      <c r="B1587" s="72" t="n"/>
      <c r="C1587" s="40" t="n"/>
      <c r="D1587" s="47" t="n"/>
      <c r="E1587" s="47" t="n"/>
      <c r="F1587" s="47" t="n"/>
    </row>
    <row r="1588">
      <c r="A1588" s="16">
        <f>IF($B1588="","",COUNTA($B$4:$B1588))</f>
        <v/>
      </c>
      <c r="B1588" s="71" t="n"/>
      <c r="C1588" s="38" t="n"/>
      <c r="D1588" s="45" t="n"/>
      <c r="E1588" s="45" t="n"/>
      <c r="F1588" s="45" t="n"/>
    </row>
    <row r="1589">
      <c r="A1589" s="16">
        <f>IF($B1589="","",COUNTA($B$4:$B1589))</f>
        <v/>
      </c>
      <c r="B1589" s="72" t="n"/>
      <c r="C1589" s="40" t="n"/>
      <c r="D1589" s="47" t="n"/>
      <c r="E1589" s="47" t="n"/>
      <c r="F1589" s="47" t="n"/>
    </row>
    <row r="1590">
      <c r="A1590" s="16">
        <f>IF($B1590="","",COUNTA($B$4:$B1590))</f>
        <v/>
      </c>
      <c r="B1590" s="71" t="n"/>
      <c r="C1590" s="38" t="n"/>
      <c r="D1590" s="45" t="n"/>
      <c r="E1590" s="45" t="n"/>
      <c r="F1590" s="45" t="n"/>
    </row>
    <row r="1591">
      <c r="A1591" s="16">
        <f>IF($B1591="","",COUNTA($B$4:$B1591))</f>
        <v/>
      </c>
      <c r="B1591" s="72" t="n"/>
      <c r="C1591" s="40" t="n"/>
      <c r="D1591" s="47" t="n"/>
      <c r="E1591" s="47" t="n"/>
      <c r="F1591" s="47" t="n"/>
    </row>
    <row r="1592">
      <c r="A1592" s="16">
        <f>IF($B1592="","",COUNTA($B$4:$B1592))</f>
        <v/>
      </c>
      <c r="B1592" s="71" t="n"/>
      <c r="C1592" s="38" t="n"/>
      <c r="D1592" s="45" t="n"/>
      <c r="E1592" s="45" t="n"/>
      <c r="F1592" s="45" t="n"/>
    </row>
    <row r="1593">
      <c r="A1593" s="16">
        <f>IF($B1593="","",COUNTA($B$4:$B1593))</f>
        <v/>
      </c>
      <c r="B1593" s="72" t="n"/>
      <c r="C1593" s="40" t="n"/>
      <c r="D1593" s="47" t="n"/>
      <c r="E1593" s="47" t="n"/>
      <c r="F1593" s="47" t="n"/>
    </row>
    <row r="1594">
      <c r="A1594" s="16">
        <f>IF($B1594="","",COUNTA($B$4:$B1594))</f>
        <v/>
      </c>
      <c r="B1594" s="71" t="n"/>
      <c r="C1594" s="38" t="n"/>
      <c r="D1594" s="45" t="n"/>
      <c r="E1594" s="45" t="n"/>
      <c r="F1594" s="45" t="n"/>
    </row>
    <row r="1595">
      <c r="A1595" s="16">
        <f>IF($B1595="","",COUNTA($B$4:$B1595))</f>
        <v/>
      </c>
      <c r="B1595" s="72" t="n"/>
      <c r="C1595" s="40" t="n"/>
      <c r="D1595" s="47" t="n"/>
      <c r="E1595" s="47" t="n"/>
      <c r="F1595" s="47" t="n"/>
    </row>
    <row r="1596">
      <c r="A1596" s="16">
        <f>IF($B1596="","",COUNTA($B$4:$B1596))</f>
        <v/>
      </c>
      <c r="B1596" s="71" t="n"/>
      <c r="C1596" s="38" t="n"/>
      <c r="D1596" s="45" t="n"/>
      <c r="E1596" s="45" t="n"/>
      <c r="F1596" s="45" t="n"/>
    </row>
    <row r="1597">
      <c r="A1597" s="16">
        <f>IF($B1597="","",COUNTA($B$4:$B1597))</f>
        <v/>
      </c>
      <c r="B1597" s="72" t="n"/>
      <c r="C1597" s="40" t="n"/>
      <c r="D1597" s="47" t="n"/>
      <c r="E1597" s="47" t="n"/>
      <c r="F1597" s="47" t="n"/>
    </row>
    <row r="1598">
      <c r="A1598" s="16">
        <f>IF($B1598="","",COUNTA($B$4:$B1598))</f>
        <v/>
      </c>
      <c r="B1598" s="71" t="n"/>
      <c r="C1598" s="38" t="n"/>
      <c r="D1598" s="45" t="n"/>
      <c r="E1598" s="45" t="n"/>
      <c r="F1598" s="45" t="n"/>
    </row>
    <row r="1599">
      <c r="A1599" s="16">
        <f>IF($B1599="","",COUNTA($B$4:$B1599))</f>
        <v/>
      </c>
      <c r="B1599" s="72" t="n"/>
      <c r="C1599" s="40" t="n"/>
      <c r="D1599" s="47" t="n"/>
      <c r="E1599" s="47" t="n"/>
      <c r="F1599" s="47" t="n"/>
    </row>
    <row r="1600">
      <c r="A1600" s="16">
        <f>IF($B1600="","",COUNTA($B$4:$B1600))</f>
        <v/>
      </c>
      <c r="B1600" s="71" t="n"/>
      <c r="C1600" s="38" t="n"/>
      <c r="D1600" s="45" t="n"/>
      <c r="E1600" s="45" t="n"/>
      <c r="F1600" s="45" t="n"/>
    </row>
    <row r="1601">
      <c r="A1601" s="16">
        <f>IF($B1601="","",COUNTA($B$4:$B1601))</f>
        <v/>
      </c>
      <c r="B1601" s="72" t="n"/>
      <c r="C1601" s="40" t="n"/>
      <c r="D1601" s="47" t="n"/>
      <c r="E1601" s="47" t="n"/>
      <c r="F1601" s="47" t="n"/>
    </row>
    <row r="1602">
      <c r="A1602" s="16">
        <f>IF($B1602="","",COUNTA($B$4:$B1602))</f>
        <v/>
      </c>
      <c r="B1602" s="71" t="n"/>
      <c r="C1602" s="38" t="n"/>
      <c r="D1602" s="45" t="n"/>
      <c r="E1602" s="45" t="n"/>
      <c r="F1602" s="45" t="n"/>
    </row>
    <row r="1603">
      <c r="A1603" s="16">
        <f>IF($B1603="","",COUNTA($B$4:$B1603))</f>
        <v/>
      </c>
      <c r="B1603" s="72" t="n"/>
      <c r="C1603" s="40" t="n"/>
      <c r="D1603" s="47" t="n"/>
      <c r="E1603" s="47" t="n"/>
      <c r="F1603" s="47" t="n"/>
    </row>
    <row r="1604">
      <c r="A1604" s="16">
        <f>IF($B1604="","",COUNTA($B$4:$B1604))</f>
        <v/>
      </c>
      <c r="B1604" s="71" t="n"/>
      <c r="C1604" s="38" t="n"/>
      <c r="D1604" s="45" t="n"/>
      <c r="E1604" s="45" t="n"/>
      <c r="F1604" s="45" t="n"/>
    </row>
    <row r="1605">
      <c r="A1605" s="16">
        <f>IF($B1605="","",COUNTA($B$4:$B1605))</f>
        <v/>
      </c>
      <c r="B1605" s="72" t="n"/>
      <c r="C1605" s="40" t="n"/>
      <c r="D1605" s="47" t="n"/>
      <c r="E1605" s="47" t="n"/>
      <c r="F1605" s="47" t="n"/>
    </row>
    <row r="1606">
      <c r="A1606" s="16">
        <f>IF($B1606="","",COUNTA($B$4:$B1606))</f>
        <v/>
      </c>
      <c r="B1606" s="71" t="n"/>
      <c r="C1606" s="38" t="n"/>
      <c r="D1606" s="45" t="n"/>
      <c r="E1606" s="45" t="n"/>
      <c r="F1606" s="45" t="n"/>
    </row>
    <row r="1607">
      <c r="A1607" s="16">
        <f>IF($B1607="","",COUNTA($B$4:$B1607))</f>
        <v/>
      </c>
      <c r="B1607" s="72" t="n"/>
      <c r="C1607" s="40" t="n"/>
      <c r="D1607" s="47" t="n"/>
      <c r="E1607" s="47" t="n"/>
      <c r="F1607" s="47" t="n"/>
    </row>
    <row r="1608">
      <c r="A1608" s="16">
        <f>IF($B1608="","",COUNTA($B$4:$B1608))</f>
        <v/>
      </c>
      <c r="B1608" s="71" t="n"/>
      <c r="C1608" s="38" t="n"/>
      <c r="D1608" s="45" t="n"/>
      <c r="E1608" s="45" t="n"/>
      <c r="F1608" s="45" t="n"/>
    </row>
    <row r="1609">
      <c r="A1609" s="16">
        <f>IF($B1609="","",COUNTA($B$4:$B1609))</f>
        <v/>
      </c>
      <c r="B1609" s="72" t="n"/>
      <c r="C1609" s="40" t="n"/>
      <c r="D1609" s="47" t="n"/>
      <c r="E1609" s="47" t="n"/>
      <c r="F1609" s="47" t="n"/>
    </row>
    <row r="1610">
      <c r="A1610" s="16">
        <f>IF($B1610="","",COUNTA($B$4:$B1610))</f>
        <v/>
      </c>
      <c r="B1610" s="71" t="n"/>
      <c r="C1610" s="38" t="n"/>
      <c r="D1610" s="45" t="n"/>
      <c r="E1610" s="45" t="n"/>
      <c r="F1610" s="45" t="n"/>
    </row>
    <row r="1611">
      <c r="A1611" s="16">
        <f>IF($B1611="","",COUNTA($B$4:$B1611))</f>
        <v/>
      </c>
      <c r="B1611" s="72" t="n"/>
      <c r="C1611" s="40" t="n"/>
      <c r="D1611" s="47" t="n"/>
      <c r="E1611" s="47" t="n"/>
      <c r="F1611" s="47" t="n"/>
    </row>
    <row r="1612">
      <c r="A1612" s="16">
        <f>IF($B1612="","",COUNTA($B$4:$B1612))</f>
        <v/>
      </c>
      <c r="B1612" s="71" t="n"/>
      <c r="C1612" s="38" t="n"/>
      <c r="D1612" s="45" t="n"/>
      <c r="E1612" s="45" t="n"/>
      <c r="F1612" s="45" t="n"/>
    </row>
    <row r="1613">
      <c r="A1613" s="16">
        <f>IF($B1613="","",COUNTA($B$4:$B1613))</f>
        <v/>
      </c>
      <c r="B1613" s="72" t="n"/>
      <c r="C1613" s="40" t="n"/>
      <c r="D1613" s="47" t="n"/>
      <c r="E1613" s="47" t="n"/>
      <c r="F1613" s="47" t="n"/>
    </row>
    <row r="1614">
      <c r="A1614" s="16">
        <f>IF($B1614="","",COUNTA($B$4:$B1614))</f>
        <v/>
      </c>
      <c r="B1614" s="71" t="n"/>
      <c r="C1614" s="38" t="n"/>
      <c r="D1614" s="45" t="n"/>
      <c r="E1614" s="45" t="n"/>
      <c r="F1614" s="45" t="n"/>
    </row>
    <row r="1615">
      <c r="A1615" s="16">
        <f>IF($B1615="","",COUNTA($B$4:$B1615))</f>
        <v/>
      </c>
      <c r="B1615" s="72" t="n"/>
      <c r="C1615" s="40" t="n"/>
      <c r="D1615" s="47" t="n"/>
      <c r="E1615" s="47" t="n"/>
      <c r="F1615" s="47" t="n"/>
    </row>
    <row r="1616">
      <c r="A1616" s="16">
        <f>IF($B1616="","",COUNTA($B$4:$B1616))</f>
        <v/>
      </c>
      <c r="B1616" s="71" t="n"/>
      <c r="C1616" s="38" t="n"/>
      <c r="D1616" s="45" t="n"/>
      <c r="E1616" s="45" t="n"/>
      <c r="F1616" s="45" t="n"/>
    </row>
    <row r="1617">
      <c r="A1617" s="16">
        <f>IF($B1617="","",COUNTA($B$4:$B1617))</f>
        <v/>
      </c>
      <c r="B1617" s="72" t="n"/>
      <c r="C1617" s="40" t="n"/>
      <c r="D1617" s="47" t="n"/>
      <c r="E1617" s="47" t="n"/>
      <c r="F1617" s="47" t="n"/>
    </row>
    <row r="1618">
      <c r="A1618" s="16">
        <f>IF($B1618="","",COUNTA($B$4:$B1618))</f>
        <v/>
      </c>
      <c r="B1618" s="71" t="n"/>
      <c r="C1618" s="38" t="n"/>
      <c r="D1618" s="45" t="n"/>
      <c r="E1618" s="45" t="n"/>
      <c r="F1618" s="45" t="n"/>
    </row>
    <row r="1619">
      <c r="A1619" s="16">
        <f>IF($B1619="","",COUNTA($B$4:$B1619))</f>
        <v/>
      </c>
      <c r="B1619" s="72" t="n"/>
      <c r="C1619" s="40" t="n"/>
      <c r="D1619" s="47" t="n"/>
      <c r="E1619" s="47" t="n"/>
      <c r="F1619" s="47" t="n"/>
    </row>
    <row r="1620">
      <c r="A1620" s="16">
        <f>IF($B1620="","",COUNTA($B$4:$B1620))</f>
        <v/>
      </c>
      <c r="B1620" s="71" t="n"/>
      <c r="C1620" s="38" t="n"/>
      <c r="D1620" s="45" t="n"/>
      <c r="E1620" s="45" t="n"/>
      <c r="F1620" s="45" t="n"/>
    </row>
    <row r="1621">
      <c r="A1621" s="16">
        <f>IF($B1621="","",COUNTA($B$4:$B1621))</f>
        <v/>
      </c>
      <c r="B1621" s="72" t="n"/>
      <c r="C1621" s="40" t="n"/>
      <c r="D1621" s="47" t="n"/>
      <c r="E1621" s="47" t="n"/>
      <c r="F1621" s="47" t="n"/>
    </row>
    <row r="1622">
      <c r="A1622" s="16">
        <f>IF($B1622="","",COUNTA($B$4:$B1622))</f>
        <v/>
      </c>
      <c r="B1622" s="71" t="n"/>
      <c r="C1622" s="38" t="n"/>
      <c r="D1622" s="45" t="n"/>
      <c r="E1622" s="45" t="n"/>
      <c r="F1622" s="45" t="n"/>
    </row>
    <row r="1623">
      <c r="A1623" s="16">
        <f>IF($B1623="","",COUNTA($B$4:$B1623))</f>
        <v/>
      </c>
      <c r="B1623" s="72" t="n"/>
      <c r="C1623" s="40" t="n"/>
      <c r="D1623" s="47" t="n"/>
      <c r="E1623" s="47" t="n"/>
      <c r="F1623" s="47" t="n"/>
    </row>
    <row r="1624">
      <c r="A1624" s="16">
        <f>IF($B1624="","",COUNTA($B$4:$B1624))</f>
        <v/>
      </c>
      <c r="B1624" s="71" t="n"/>
      <c r="C1624" s="38" t="n"/>
      <c r="D1624" s="45" t="n"/>
      <c r="E1624" s="45" t="n"/>
      <c r="F1624" s="45" t="n"/>
    </row>
    <row r="1625">
      <c r="A1625" s="16">
        <f>IF($B1625="","",COUNTA($B$4:$B1625))</f>
        <v/>
      </c>
      <c r="B1625" s="72" t="n"/>
      <c r="C1625" s="40" t="n"/>
      <c r="D1625" s="47" t="n"/>
      <c r="E1625" s="47" t="n"/>
      <c r="F1625" s="47" t="n"/>
    </row>
    <row r="1626">
      <c r="A1626" s="16">
        <f>IF($B1626="","",COUNTA($B$4:$B1626))</f>
        <v/>
      </c>
      <c r="B1626" s="71" t="n"/>
      <c r="C1626" s="38" t="n"/>
      <c r="D1626" s="45" t="n"/>
      <c r="E1626" s="45" t="n"/>
      <c r="F1626" s="45" t="n"/>
    </row>
    <row r="1627">
      <c r="A1627" s="16">
        <f>IF($B1627="","",COUNTA($B$4:$B1627))</f>
        <v/>
      </c>
      <c r="B1627" s="72" t="n"/>
      <c r="C1627" s="40" t="n"/>
      <c r="D1627" s="47" t="n"/>
      <c r="E1627" s="47" t="n"/>
      <c r="F1627" s="47" t="n"/>
    </row>
    <row r="1628">
      <c r="A1628" s="16">
        <f>IF($B1628="","",COUNTA($B$4:$B1628))</f>
        <v/>
      </c>
      <c r="B1628" s="71" t="n"/>
      <c r="C1628" s="38" t="n"/>
      <c r="D1628" s="45" t="n"/>
      <c r="E1628" s="45" t="n"/>
      <c r="F1628" s="45" t="n"/>
    </row>
    <row r="1629">
      <c r="A1629" s="16">
        <f>IF($B1629="","",COUNTA($B$4:$B1629))</f>
        <v/>
      </c>
      <c r="B1629" s="72" t="n"/>
      <c r="C1629" s="40" t="n"/>
      <c r="D1629" s="47" t="n"/>
      <c r="E1629" s="47" t="n"/>
      <c r="F1629" s="47" t="n"/>
    </row>
    <row r="1630">
      <c r="A1630" s="16">
        <f>IF($B1630="","",COUNTA($B$4:$B1630))</f>
        <v/>
      </c>
      <c r="B1630" s="71" t="n"/>
      <c r="C1630" s="38" t="n"/>
      <c r="D1630" s="45" t="n"/>
      <c r="E1630" s="45" t="n"/>
      <c r="F1630" s="45" t="n"/>
    </row>
    <row r="1631">
      <c r="A1631" s="16">
        <f>IF($B1631="","",COUNTA($B$4:$B1631))</f>
        <v/>
      </c>
      <c r="B1631" s="72" t="n"/>
      <c r="C1631" s="40" t="n"/>
      <c r="D1631" s="47" t="n"/>
      <c r="E1631" s="47" t="n"/>
      <c r="F1631" s="47" t="n"/>
    </row>
    <row r="1632">
      <c r="A1632" s="16">
        <f>IF($B1632="","",COUNTA($B$4:$B1632))</f>
        <v/>
      </c>
      <c r="B1632" s="71" t="n"/>
      <c r="C1632" s="38" t="n"/>
      <c r="D1632" s="45" t="n"/>
      <c r="E1632" s="45" t="n"/>
      <c r="F1632" s="45" t="n"/>
    </row>
    <row r="1633">
      <c r="A1633" s="16">
        <f>IF($B1633="","",COUNTA($B$4:$B1633))</f>
        <v/>
      </c>
      <c r="B1633" s="72" t="n"/>
      <c r="C1633" s="40" t="n"/>
      <c r="D1633" s="47" t="n"/>
      <c r="E1633" s="47" t="n"/>
      <c r="F1633" s="47" t="n"/>
    </row>
    <row r="1634">
      <c r="A1634" s="16">
        <f>IF($B1634="","",COUNTA($B$4:$B1634))</f>
        <v/>
      </c>
      <c r="B1634" s="71" t="n"/>
      <c r="C1634" s="38" t="n"/>
      <c r="D1634" s="45" t="n"/>
      <c r="E1634" s="45" t="n"/>
      <c r="F1634" s="45" t="n"/>
    </row>
    <row r="1635">
      <c r="A1635" s="16">
        <f>IF($B1635="","",COUNTA($B$4:$B1635))</f>
        <v/>
      </c>
      <c r="B1635" s="72" t="n"/>
      <c r="C1635" s="40" t="n"/>
      <c r="D1635" s="47" t="n"/>
      <c r="E1635" s="47" t="n"/>
      <c r="F1635" s="47" t="n"/>
    </row>
    <row r="1636">
      <c r="A1636" s="16">
        <f>IF($B1636="","",COUNTA($B$4:$B1636))</f>
        <v/>
      </c>
      <c r="B1636" s="71" t="n"/>
      <c r="C1636" s="38" t="n"/>
      <c r="D1636" s="45" t="n"/>
      <c r="E1636" s="45" t="n"/>
      <c r="F1636" s="45" t="n"/>
    </row>
    <row r="1637">
      <c r="A1637" s="16">
        <f>IF($B1637="","",COUNTA($B$4:$B1637))</f>
        <v/>
      </c>
      <c r="B1637" s="72" t="n"/>
      <c r="C1637" s="40" t="n"/>
      <c r="D1637" s="47" t="n"/>
      <c r="E1637" s="47" t="n"/>
      <c r="F1637" s="47" t="n"/>
    </row>
    <row r="1638">
      <c r="A1638" s="16">
        <f>IF($B1638="","",COUNTA($B$4:$B1638))</f>
        <v/>
      </c>
      <c r="B1638" s="71" t="n"/>
      <c r="C1638" s="38" t="n"/>
      <c r="D1638" s="45" t="n"/>
      <c r="E1638" s="45" t="n"/>
      <c r="F1638" s="45" t="n"/>
    </row>
    <row r="1639">
      <c r="A1639" s="16">
        <f>IF($B1639="","",COUNTA($B$4:$B1639))</f>
        <v/>
      </c>
      <c r="B1639" s="72" t="n"/>
      <c r="C1639" s="40" t="n"/>
      <c r="D1639" s="47" t="n"/>
      <c r="E1639" s="47" t="n"/>
      <c r="F1639" s="47" t="n"/>
    </row>
    <row r="1640">
      <c r="A1640" s="16">
        <f>IF($B1640="","",COUNTA($B$4:$B1640))</f>
        <v/>
      </c>
      <c r="B1640" s="71" t="n"/>
      <c r="C1640" s="38" t="n"/>
      <c r="D1640" s="45" t="n"/>
      <c r="E1640" s="45" t="n"/>
      <c r="F1640" s="45" t="n"/>
    </row>
    <row r="1641">
      <c r="A1641" s="16">
        <f>IF($B1641="","",COUNTA($B$4:$B1641))</f>
        <v/>
      </c>
      <c r="B1641" s="72" t="n"/>
      <c r="C1641" s="40" t="n"/>
      <c r="D1641" s="47" t="n"/>
      <c r="E1641" s="47" t="n"/>
      <c r="F1641" s="47" t="n"/>
    </row>
    <row r="1642">
      <c r="A1642" s="16">
        <f>IF($B1642="","",COUNTA($B$4:$B1642))</f>
        <v/>
      </c>
      <c r="B1642" s="71" t="n"/>
      <c r="C1642" s="38" t="n"/>
      <c r="D1642" s="45" t="n"/>
      <c r="E1642" s="45" t="n"/>
      <c r="F1642" s="45" t="n"/>
    </row>
    <row r="1643">
      <c r="A1643" s="16">
        <f>IF($B1643="","",COUNTA($B$4:$B1643))</f>
        <v/>
      </c>
      <c r="B1643" s="72" t="n"/>
      <c r="C1643" s="40" t="n"/>
      <c r="D1643" s="47" t="n"/>
      <c r="E1643" s="47" t="n"/>
      <c r="F1643" s="47" t="n"/>
    </row>
    <row r="1644">
      <c r="A1644" s="16">
        <f>IF($B1644="","",COUNTA($B$4:$B1644))</f>
        <v/>
      </c>
      <c r="B1644" s="71" t="n"/>
      <c r="C1644" s="38" t="n"/>
      <c r="D1644" s="45" t="n"/>
      <c r="E1644" s="45" t="n"/>
      <c r="F1644" s="45" t="n"/>
    </row>
    <row r="1645">
      <c r="A1645" s="16">
        <f>IF($B1645="","",COUNTA($B$4:$B1645))</f>
        <v/>
      </c>
      <c r="B1645" s="72" t="n"/>
      <c r="C1645" s="40" t="n"/>
      <c r="D1645" s="47" t="n"/>
      <c r="E1645" s="47" t="n"/>
      <c r="F1645" s="47" t="n"/>
    </row>
    <row r="1646">
      <c r="A1646" s="16">
        <f>IF($B1646="","",COUNTA($B$4:$B1646))</f>
        <v/>
      </c>
      <c r="B1646" s="71" t="n"/>
      <c r="C1646" s="38" t="n"/>
      <c r="D1646" s="45" t="n"/>
      <c r="E1646" s="45" t="n"/>
      <c r="F1646" s="45" t="n"/>
    </row>
    <row r="1647">
      <c r="A1647" s="16">
        <f>IF($B1647="","",COUNTA($B$4:$B1647))</f>
        <v/>
      </c>
      <c r="B1647" s="72" t="n"/>
      <c r="C1647" s="40" t="n"/>
      <c r="D1647" s="47" t="n"/>
      <c r="E1647" s="47" t="n"/>
      <c r="F1647" s="47" t="n"/>
    </row>
    <row r="1648">
      <c r="A1648" s="16">
        <f>IF($B1648="","",COUNTA($B$4:$B1648))</f>
        <v/>
      </c>
      <c r="B1648" s="71" t="n"/>
      <c r="C1648" s="38" t="n"/>
      <c r="D1648" s="45" t="n"/>
      <c r="E1648" s="45" t="n"/>
      <c r="F1648" s="45" t="n"/>
    </row>
    <row r="1649">
      <c r="A1649" s="16">
        <f>IF($B1649="","",COUNTA($B$4:$B1649))</f>
        <v/>
      </c>
      <c r="B1649" s="72" t="n"/>
      <c r="C1649" s="40" t="n"/>
      <c r="D1649" s="47" t="n"/>
      <c r="E1649" s="47" t="n"/>
      <c r="F1649" s="47" t="n"/>
    </row>
    <row r="1650">
      <c r="A1650" s="16">
        <f>IF($B1650="","",COUNTA($B$4:$B1650))</f>
        <v/>
      </c>
      <c r="B1650" s="71" t="n"/>
      <c r="C1650" s="38" t="n"/>
      <c r="D1650" s="45" t="n"/>
      <c r="E1650" s="45" t="n"/>
      <c r="F1650" s="45" t="n"/>
    </row>
    <row r="1651">
      <c r="A1651" s="16">
        <f>IF($B1651="","",COUNTA($B$4:$B1651))</f>
        <v/>
      </c>
      <c r="B1651" s="72" t="n"/>
      <c r="C1651" s="40" t="n"/>
      <c r="D1651" s="47" t="n"/>
      <c r="E1651" s="47" t="n"/>
      <c r="F1651" s="47" t="n"/>
    </row>
    <row r="1652">
      <c r="A1652" s="16">
        <f>IF($B1652="","",COUNTA($B$4:$B1652))</f>
        <v/>
      </c>
      <c r="B1652" s="71" t="n"/>
      <c r="C1652" s="38" t="n"/>
      <c r="D1652" s="45" t="n"/>
      <c r="E1652" s="45" t="n"/>
      <c r="F1652" s="45" t="n"/>
    </row>
    <row r="1653">
      <c r="A1653" s="16">
        <f>IF($B1653="","",COUNTA($B$4:$B1653))</f>
        <v/>
      </c>
      <c r="B1653" s="72" t="n"/>
      <c r="C1653" s="40" t="n"/>
      <c r="D1653" s="47" t="n"/>
      <c r="E1653" s="47" t="n"/>
      <c r="F1653" s="47" t="n"/>
    </row>
    <row r="1654">
      <c r="A1654" s="16">
        <f>IF($B1654="","",COUNTA($B$4:$B1654))</f>
        <v/>
      </c>
      <c r="B1654" s="71" t="n"/>
      <c r="C1654" s="38" t="n"/>
      <c r="D1654" s="45" t="n"/>
      <c r="E1654" s="45" t="n"/>
      <c r="F1654" s="45" t="n"/>
    </row>
    <row r="1655">
      <c r="A1655" s="16">
        <f>IF($B1655="","",COUNTA($B$4:$B1655))</f>
        <v/>
      </c>
      <c r="B1655" s="72" t="n"/>
      <c r="C1655" s="40" t="n"/>
      <c r="D1655" s="47" t="n"/>
      <c r="E1655" s="47" t="n"/>
      <c r="F1655" s="47" t="n"/>
    </row>
    <row r="1656">
      <c r="A1656" s="16">
        <f>IF($B1656="","",COUNTA($B$4:$B1656))</f>
        <v/>
      </c>
      <c r="B1656" s="71" t="n"/>
      <c r="C1656" s="38" t="n"/>
      <c r="D1656" s="45" t="n"/>
      <c r="E1656" s="45" t="n"/>
      <c r="F1656" s="45" t="n"/>
    </row>
    <row r="1657">
      <c r="A1657" s="16">
        <f>IF($B1657="","",COUNTA($B$4:$B1657))</f>
        <v/>
      </c>
      <c r="B1657" s="72" t="n"/>
      <c r="C1657" s="40" t="n"/>
      <c r="D1657" s="47" t="n"/>
      <c r="E1657" s="47" t="n"/>
      <c r="F1657" s="47" t="n"/>
    </row>
    <row r="1658">
      <c r="A1658" s="16">
        <f>IF($B1658="","",COUNTA($B$4:$B1658))</f>
        <v/>
      </c>
      <c r="B1658" s="71" t="n"/>
      <c r="C1658" s="38" t="n"/>
      <c r="D1658" s="45" t="n"/>
      <c r="E1658" s="45" t="n"/>
      <c r="F1658" s="45" t="n"/>
    </row>
    <row r="1659">
      <c r="A1659" s="16">
        <f>IF($B1659="","",COUNTA($B$4:$B1659))</f>
        <v/>
      </c>
      <c r="B1659" s="72" t="n"/>
      <c r="C1659" s="40" t="n"/>
      <c r="D1659" s="47" t="n"/>
      <c r="E1659" s="47" t="n"/>
      <c r="F1659" s="47" t="n"/>
    </row>
    <row r="1660">
      <c r="A1660" s="16">
        <f>IF($B1660="","",COUNTA($B$4:$B1660))</f>
        <v/>
      </c>
      <c r="B1660" s="71" t="n"/>
      <c r="C1660" s="38" t="n"/>
      <c r="D1660" s="45" t="n"/>
      <c r="E1660" s="45" t="n"/>
      <c r="F1660" s="45" t="n"/>
    </row>
    <row r="1661">
      <c r="A1661" s="16">
        <f>IF($B1661="","",COUNTA($B$4:$B1661))</f>
        <v/>
      </c>
      <c r="B1661" s="72" t="n"/>
      <c r="C1661" s="40" t="n"/>
      <c r="D1661" s="47" t="n"/>
      <c r="E1661" s="47" t="n"/>
      <c r="F1661" s="47" t="n"/>
    </row>
    <row r="1662">
      <c r="A1662" s="16">
        <f>IF($B1662="","",COUNTA($B$4:$B1662))</f>
        <v/>
      </c>
      <c r="B1662" s="71" t="n"/>
      <c r="C1662" s="38" t="n"/>
      <c r="D1662" s="45" t="n"/>
      <c r="E1662" s="45" t="n"/>
      <c r="F1662" s="45" t="n"/>
    </row>
    <row r="1663">
      <c r="A1663" s="16">
        <f>IF($B1663="","",COUNTA($B$4:$B1663))</f>
        <v/>
      </c>
      <c r="B1663" s="72" t="n"/>
      <c r="C1663" s="40" t="n"/>
      <c r="D1663" s="47" t="n"/>
      <c r="E1663" s="47" t="n"/>
      <c r="F1663" s="47" t="n"/>
    </row>
    <row r="1664">
      <c r="A1664" s="16">
        <f>IF($B1664="","",COUNTA($B$4:$B1664))</f>
        <v/>
      </c>
      <c r="B1664" s="71" t="n"/>
      <c r="C1664" s="38" t="n"/>
      <c r="D1664" s="45" t="n"/>
      <c r="E1664" s="45" t="n"/>
      <c r="F1664" s="45" t="n"/>
    </row>
    <row r="1665">
      <c r="A1665" s="16">
        <f>IF($B1665="","",COUNTA($B$4:$B1665))</f>
        <v/>
      </c>
      <c r="B1665" s="72" t="n"/>
      <c r="C1665" s="40" t="n"/>
      <c r="D1665" s="47" t="n"/>
      <c r="E1665" s="47" t="n"/>
      <c r="F1665" s="47" t="n"/>
    </row>
    <row r="1666">
      <c r="A1666" s="16">
        <f>IF($B1666="","",COUNTA($B$4:$B1666))</f>
        <v/>
      </c>
      <c r="B1666" s="71" t="n"/>
      <c r="C1666" s="38" t="n"/>
      <c r="D1666" s="45" t="n"/>
      <c r="E1666" s="45" t="n"/>
      <c r="F1666" s="45" t="n"/>
    </row>
    <row r="1667">
      <c r="A1667" s="16">
        <f>IF($B1667="","",COUNTA($B$4:$B1667))</f>
        <v/>
      </c>
      <c r="B1667" s="72" t="n"/>
      <c r="C1667" s="40" t="n"/>
      <c r="D1667" s="47" t="n"/>
      <c r="E1667" s="47" t="n"/>
      <c r="F1667" s="47" t="n"/>
    </row>
    <row r="1668">
      <c r="A1668" s="16">
        <f>IF($B1668="","",COUNTA($B$4:$B1668))</f>
        <v/>
      </c>
      <c r="B1668" s="71" t="n"/>
      <c r="C1668" s="38" t="n"/>
      <c r="D1668" s="45" t="n"/>
      <c r="E1668" s="45" t="n"/>
      <c r="F1668" s="45" t="n"/>
    </row>
    <row r="1669">
      <c r="A1669" s="16">
        <f>IF($B1669="","",COUNTA($B$4:$B1669))</f>
        <v/>
      </c>
      <c r="B1669" s="72" t="n"/>
      <c r="C1669" s="40" t="n"/>
      <c r="D1669" s="47" t="n"/>
      <c r="E1669" s="47" t="n"/>
      <c r="F1669" s="47" t="n"/>
    </row>
    <row r="1670">
      <c r="A1670" s="16">
        <f>IF($B1670="","",COUNTA($B$4:$B1670))</f>
        <v/>
      </c>
      <c r="B1670" s="71" t="n"/>
      <c r="C1670" s="38" t="n"/>
      <c r="D1670" s="45" t="n"/>
      <c r="E1670" s="45" t="n"/>
      <c r="F1670" s="45" t="n"/>
    </row>
    <row r="1671">
      <c r="A1671" s="16">
        <f>IF($B1671="","",COUNTA($B$4:$B1671))</f>
        <v/>
      </c>
      <c r="B1671" s="72" t="n"/>
      <c r="C1671" s="40" t="n"/>
      <c r="D1671" s="47" t="n"/>
      <c r="E1671" s="47" t="n"/>
      <c r="F1671" s="47" t="n"/>
    </row>
    <row r="1672">
      <c r="A1672" s="16">
        <f>IF($B1672="","",COUNTA($B$4:$B1672))</f>
        <v/>
      </c>
      <c r="B1672" s="71" t="n"/>
      <c r="C1672" s="38" t="n"/>
      <c r="D1672" s="45" t="n"/>
      <c r="E1672" s="45" t="n"/>
      <c r="F1672" s="45" t="n"/>
    </row>
    <row r="1673">
      <c r="A1673" s="16">
        <f>IF($B1673="","",COUNTA($B$4:$B1673))</f>
        <v/>
      </c>
      <c r="B1673" s="72" t="n"/>
      <c r="C1673" s="40" t="n"/>
      <c r="D1673" s="47" t="n"/>
      <c r="E1673" s="47" t="n"/>
      <c r="F1673" s="47" t="n"/>
    </row>
    <row r="1674">
      <c r="A1674" s="16">
        <f>IF($B1674="","",COUNTA($B$4:$B1674))</f>
        <v/>
      </c>
      <c r="B1674" s="71" t="n"/>
      <c r="C1674" s="38" t="n"/>
      <c r="D1674" s="45" t="n"/>
      <c r="E1674" s="45" t="n"/>
      <c r="F1674" s="45" t="n"/>
    </row>
    <row r="1675">
      <c r="A1675" s="16">
        <f>IF($B1675="","",COUNTA($B$4:$B1675))</f>
        <v/>
      </c>
      <c r="B1675" s="72" t="n"/>
      <c r="C1675" s="40" t="n"/>
      <c r="D1675" s="47" t="n"/>
      <c r="E1675" s="47" t="n"/>
      <c r="F1675" s="47" t="n"/>
    </row>
    <row r="1676">
      <c r="A1676" s="16">
        <f>IF($B1676="","",COUNTA($B$4:$B1676))</f>
        <v/>
      </c>
      <c r="B1676" s="71" t="n"/>
      <c r="C1676" s="38" t="n"/>
      <c r="D1676" s="45" t="n"/>
      <c r="E1676" s="45" t="n"/>
      <c r="F1676" s="45" t="n"/>
    </row>
    <row r="1677">
      <c r="A1677" s="16">
        <f>IF($B1677="","",COUNTA($B$4:$B1677))</f>
        <v/>
      </c>
      <c r="B1677" s="72" t="n"/>
      <c r="C1677" s="40" t="n"/>
      <c r="D1677" s="47" t="n"/>
      <c r="E1677" s="47" t="n"/>
      <c r="F1677" s="47" t="n"/>
    </row>
    <row r="1678">
      <c r="A1678" s="16">
        <f>IF($B1678="","",COUNTA($B$4:$B1678))</f>
        <v/>
      </c>
      <c r="B1678" s="71" t="n"/>
      <c r="C1678" s="38" t="n"/>
      <c r="D1678" s="45" t="n"/>
      <c r="E1678" s="45" t="n"/>
      <c r="F1678" s="45" t="n"/>
    </row>
    <row r="1679">
      <c r="A1679" s="16">
        <f>IF($B1679="","",COUNTA($B$4:$B1679))</f>
        <v/>
      </c>
      <c r="B1679" s="72" t="n"/>
      <c r="C1679" s="40" t="n"/>
      <c r="D1679" s="47" t="n"/>
      <c r="E1679" s="47" t="n"/>
      <c r="F1679" s="47" t="n"/>
    </row>
    <row r="1680">
      <c r="A1680" s="16">
        <f>IF($B1680="","",COUNTA($B$4:$B1680))</f>
        <v/>
      </c>
      <c r="B1680" s="71" t="n"/>
      <c r="C1680" s="38" t="n"/>
      <c r="D1680" s="45" t="n"/>
      <c r="E1680" s="45" t="n"/>
      <c r="F1680" s="45" t="n"/>
    </row>
    <row r="1681">
      <c r="A1681" s="16">
        <f>IF($B1681="","",COUNTA($B$4:$B1681))</f>
        <v/>
      </c>
      <c r="B1681" s="72" t="n"/>
      <c r="C1681" s="40" t="n"/>
      <c r="D1681" s="47" t="n"/>
      <c r="E1681" s="47" t="n"/>
      <c r="F1681" s="47" t="n"/>
    </row>
    <row r="1682">
      <c r="A1682" s="16">
        <f>IF($B1682="","",COUNTA($B$4:$B1682))</f>
        <v/>
      </c>
      <c r="B1682" s="71" t="n"/>
      <c r="C1682" s="38" t="n"/>
      <c r="D1682" s="45" t="n"/>
      <c r="E1682" s="45" t="n"/>
      <c r="F1682" s="45" t="n"/>
    </row>
    <row r="1683">
      <c r="A1683" s="16">
        <f>IF($B1683="","",COUNTA($B$4:$B1683))</f>
        <v/>
      </c>
      <c r="B1683" s="72" t="n"/>
      <c r="C1683" s="40" t="n"/>
      <c r="D1683" s="47" t="n"/>
      <c r="E1683" s="47" t="n"/>
      <c r="F1683" s="47" t="n"/>
    </row>
    <row r="1684">
      <c r="A1684" s="16">
        <f>IF($B1684="","",COUNTA($B$4:$B1684))</f>
        <v/>
      </c>
      <c r="B1684" s="71" t="n"/>
      <c r="C1684" s="38" t="n"/>
      <c r="D1684" s="45" t="n"/>
      <c r="E1684" s="45" t="n"/>
      <c r="F1684" s="45" t="n"/>
    </row>
    <row r="1685">
      <c r="A1685" s="16">
        <f>IF($B1685="","",COUNTA($B$4:$B1685))</f>
        <v/>
      </c>
      <c r="B1685" s="72" t="n"/>
      <c r="C1685" s="40" t="n"/>
      <c r="D1685" s="47" t="n"/>
      <c r="E1685" s="47" t="n"/>
      <c r="F1685" s="47" t="n"/>
    </row>
    <row r="1686">
      <c r="A1686" s="16">
        <f>IF($B1686="","",COUNTA($B$4:$B1686))</f>
        <v/>
      </c>
      <c r="B1686" s="71" t="n"/>
      <c r="C1686" s="38" t="n"/>
      <c r="D1686" s="45" t="n"/>
      <c r="E1686" s="45" t="n"/>
      <c r="F1686" s="45" t="n"/>
    </row>
    <row r="1687">
      <c r="A1687" s="16">
        <f>IF($B1687="","",COUNTA($B$4:$B1687))</f>
        <v/>
      </c>
      <c r="B1687" s="72" t="n"/>
      <c r="C1687" s="40" t="n"/>
      <c r="D1687" s="47" t="n"/>
      <c r="E1687" s="47" t="n"/>
      <c r="F1687" s="47" t="n"/>
    </row>
    <row r="1688">
      <c r="A1688" s="16">
        <f>IF($B1688="","",COUNTA($B$4:$B1688))</f>
        <v/>
      </c>
      <c r="B1688" s="71" t="n"/>
      <c r="C1688" s="38" t="n"/>
      <c r="D1688" s="45" t="n"/>
      <c r="E1688" s="45" t="n"/>
      <c r="F1688" s="45" t="n"/>
    </row>
    <row r="1689">
      <c r="A1689" s="16">
        <f>IF($B1689="","",COUNTA($B$4:$B1689))</f>
        <v/>
      </c>
      <c r="B1689" s="72" t="n"/>
      <c r="C1689" s="40" t="n"/>
      <c r="D1689" s="47" t="n"/>
      <c r="E1689" s="47" t="n"/>
      <c r="F1689" s="47" t="n"/>
    </row>
    <row r="1690">
      <c r="A1690" s="16">
        <f>IF($B1690="","",COUNTA($B$4:$B1690))</f>
        <v/>
      </c>
      <c r="B1690" s="71" t="n"/>
      <c r="C1690" s="38" t="n"/>
      <c r="D1690" s="45" t="n"/>
      <c r="E1690" s="45" t="n"/>
      <c r="F1690" s="45" t="n"/>
    </row>
    <row r="1691">
      <c r="A1691" s="16">
        <f>IF($B1691="","",COUNTA($B$4:$B1691))</f>
        <v/>
      </c>
      <c r="B1691" s="72" t="n"/>
      <c r="C1691" s="40" t="n"/>
      <c r="D1691" s="47" t="n"/>
      <c r="E1691" s="47" t="n"/>
      <c r="F1691" s="47" t="n"/>
    </row>
    <row r="1692">
      <c r="A1692" s="16">
        <f>IF($B1692="","",COUNTA($B$4:$B1692))</f>
        <v/>
      </c>
      <c r="B1692" s="71" t="n"/>
      <c r="C1692" s="38" t="n"/>
      <c r="D1692" s="45" t="n"/>
      <c r="E1692" s="45" t="n"/>
      <c r="F1692" s="45" t="n"/>
    </row>
    <row r="1693">
      <c r="A1693" s="16">
        <f>IF($B1693="","",COUNTA($B$4:$B1693))</f>
        <v/>
      </c>
      <c r="B1693" s="72" t="n"/>
      <c r="C1693" s="40" t="n"/>
      <c r="D1693" s="47" t="n"/>
      <c r="E1693" s="47" t="n"/>
      <c r="F1693" s="47" t="n"/>
    </row>
    <row r="1694">
      <c r="A1694" s="16">
        <f>IF($B1694="","",COUNTA($B$4:$B1694))</f>
        <v/>
      </c>
      <c r="B1694" s="71" t="n"/>
      <c r="C1694" s="38" t="n"/>
      <c r="D1694" s="45" t="n"/>
      <c r="E1694" s="45" t="n"/>
      <c r="F1694" s="45" t="n"/>
    </row>
    <row r="1695">
      <c r="A1695" s="16">
        <f>IF($B1695="","",COUNTA($B$4:$B1695))</f>
        <v/>
      </c>
      <c r="B1695" s="72" t="n"/>
      <c r="C1695" s="40" t="n"/>
      <c r="D1695" s="47" t="n"/>
      <c r="E1695" s="47" t="n"/>
      <c r="F1695" s="47" t="n"/>
    </row>
    <row r="1696">
      <c r="A1696" s="16">
        <f>IF($B1696="","",COUNTA($B$4:$B1696))</f>
        <v/>
      </c>
      <c r="B1696" s="71" t="n"/>
      <c r="C1696" s="38" t="n"/>
      <c r="D1696" s="45" t="n"/>
      <c r="E1696" s="45" t="n"/>
      <c r="F1696" s="45" t="n"/>
    </row>
    <row r="1697">
      <c r="A1697" s="16">
        <f>IF($B1697="","",COUNTA($B$4:$B1697))</f>
        <v/>
      </c>
      <c r="B1697" s="72" t="n"/>
      <c r="C1697" s="40" t="n"/>
      <c r="D1697" s="47" t="n"/>
      <c r="E1697" s="47" t="n"/>
      <c r="F1697" s="47" t="n"/>
    </row>
    <row r="1698">
      <c r="A1698" s="16">
        <f>IF($B1698="","",COUNTA($B$4:$B1698))</f>
        <v/>
      </c>
      <c r="B1698" s="71" t="n"/>
      <c r="C1698" s="38" t="n"/>
      <c r="D1698" s="45" t="n"/>
      <c r="E1698" s="45" t="n"/>
      <c r="F1698" s="45" t="n"/>
    </row>
    <row r="1699">
      <c r="A1699" s="16">
        <f>IF($B1699="","",COUNTA($B$4:$B1699))</f>
        <v/>
      </c>
      <c r="B1699" s="72" t="n"/>
      <c r="C1699" s="40" t="n"/>
      <c r="D1699" s="47" t="n"/>
      <c r="E1699" s="47" t="n"/>
      <c r="F1699" s="47" t="n"/>
    </row>
    <row r="1700">
      <c r="A1700" s="16">
        <f>IF($B1700="","",COUNTA($B$4:$B1700))</f>
        <v/>
      </c>
      <c r="B1700" s="71" t="n"/>
      <c r="C1700" s="38" t="n"/>
      <c r="D1700" s="45" t="n"/>
      <c r="E1700" s="45" t="n"/>
      <c r="F1700" s="45" t="n"/>
    </row>
    <row r="1701">
      <c r="A1701" s="16">
        <f>IF($B1701="","",COUNTA($B$4:$B1701))</f>
        <v/>
      </c>
      <c r="B1701" s="72" t="n"/>
      <c r="C1701" s="40" t="n"/>
      <c r="D1701" s="47" t="n"/>
      <c r="E1701" s="47" t="n"/>
      <c r="F1701" s="47" t="n"/>
    </row>
    <row r="1702">
      <c r="A1702" s="16">
        <f>IF($B1702="","",COUNTA($B$4:$B1702))</f>
        <v/>
      </c>
      <c r="B1702" s="71" t="n"/>
      <c r="C1702" s="38" t="n"/>
      <c r="D1702" s="45" t="n"/>
      <c r="E1702" s="45" t="n"/>
      <c r="F1702" s="45" t="n"/>
    </row>
    <row r="1703">
      <c r="A1703" s="16">
        <f>IF($B1703="","",COUNTA($B$4:$B1703))</f>
        <v/>
      </c>
      <c r="B1703" s="72" t="n"/>
      <c r="C1703" s="40" t="n"/>
      <c r="D1703" s="47" t="n"/>
      <c r="E1703" s="47" t="n"/>
      <c r="F1703" s="47" t="n"/>
    </row>
    <row r="1704">
      <c r="A1704" s="16">
        <f>IF($B1704="","",COUNTA($B$4:$B1704))</f>
        <v/>
      </c>
      <c r="B1704" s="71" t="n"/>
      <c r="C1704" s="38" t="n"/>
      <c r="D1704" s="45" t="n"/>
      <c r="E1704" s="45" t="n"/>
      <c r="F1704" s="45" t="n"/>
    </row>
    <row r="1705">
      <c r="A1705" s="16">
        <f>IF($B1705="","",COUNTA($B$4:$B1705))</f>
        <v/>
      </c>
      <c r="B1705" s="72" t="n"/>
      <c r="C1705" s="40" t="n"/>
      <c r="D1705" s="47" t="n"/>
      <c r="E1705" s="47" t="n"/>
      <c r="F1705" s="47" t="n"/>
    </row>
    <row r="1706">
      <c r="A1706" s="16">
        <f>IF($B1706="","",COUNTA($B$4:$B1706))</f>
        <v/>
      </c>
      <c r="B1706" s="71" t="n"/>
      <c r="C1706" s="38" t="n"/>
      <c r="D1706" s="45" t="n"/>
      <c r="E1706" s="45" t="n"/>
      <c r="F1706" s="45" t="n"/>
    </row>
    <row r="1707">
      <c r="A1707" s="16">
        <f>IF($B1707="","",COUNTA($B$4:$B1707))</f>
        <v/>
      </c>
      <c r="B1707" s="72" t="n"/>
      <c r="C1707" s="40" t="n"/>
      <c r="D1707" s="47" t="n"/>
      <c r="E1707" s="47" t="n"/>
      <c r="F1707" s="47" t="n"/>
    </row>
    <row r="1708">
      <c r="A1708" s="16">
        <f>IF($B1708="","",COUNTA($B$4:$B1708))</f>
        <v/>
      </c>
      <c r="B1708" s="71" t="n"/>
      <c r="C1708" s="38" t="n"/>
      <c r="D1708" s="45" t="n"/>
      <c r="E1708" s="45" t="n"/>
      <c r="F1708" s="45" t="n"/>
    </row>
    <row r="1709">
      <c r="A1709" s="16">
        <f>IF($B1709="","",COUNTA($B$4:$B1709))</f>
        <v/>
      </c>
      <c r="B1709" s="72" t="n"/>
      <c r="C1709" s="40" t="n"/>
      <c r="D1709" s="47" t="n"/>
      <c r="E1709" s="47" t="n"/>
      <c r="F1709" s="47" t="n"/>
    </row>
    <row r="1710">
      <c r="A1710" s="16">
        <f>IF($B1710="","",COUNTA($B$4:$B1710))</f>
        <v/>
      </c>
      <c r="B1710" s="71" t="n"/>
      <c r="C1710" s="38" t="n"/>
      <c r="D1710" s="45" t="n"/>
      <c r="E1710" s="45" t="n"/>
      <c r="F1710" s="45" t="n"/>
    </row>
    <row r="1711">
      <c r="A1711" s="16">
        <f>IF($B1711="","",COUNTA($B$4:$B1711))</f>
        <v/>
      </c>
      <c r="B1711" s="72" t="n"/>
      <c r="C1711" s="40" t="n"/>
      <c r="D1711" s="47" t="n"/>
      <c r="E1711" s="47" t="n"/>
      <c r="F1711" s="47" t="n"/>
    </row>
    <row r="1712">
      <c r="A1712" s="16">
        <f>IF($B1712="","",COUNTA($B$4:$B1712))</f>
        <v/>
      </c>
      <c r="B1712" s="71" t="n"/>
      <c r="C1712" s="38" t="n"/>
      <c r="D1712" s="45" t="n"/>
      <c r="E1712" s="45" t="n"/>
      <c r="F1712" s="45" t="n"/>
    </row>
    <row r="1713">
      <c r="A1713" s="16">
        <f>IF($B1713="","",COUNTA($B$4:$B1713))</f>
        <v/>
      </c>
      <c r="B1713" s="72" t="n"/>
      <c r="C1713" s="40" t="n"/>
      <c r="D1713" s="47" t="n"/>
      <c r="E1713" s="47" t="n"/>
      <c r="F1713" s="47" t="n"/>
    </row>
    <row r="1714">
      <c r="A1714" s="16">
        <f>IF($B1714="","",COUNTA($B$4:$B1714))</f>
        <v/>
      </c>
      <c r="B1714" s="71" t="n"/>
      <c r="C1714" s="38" t="n"/>
      <c r="D1714" s="45" t="n"/>
      <c r="E1714" s="45" t="n"/>
      <c r="F1714" s="45" t="n"/>
    </row>
    <row r="1715">
      <c r="A1715" s="16">
        <f>IF($B1715="","",COUNTA($B$4:$B1715))</f>
        <v/>
      </c>
      <c r="B1715" s="72" t="n"/>
      <c r="C1715" s="40" t="n"/>
      <c r="D1715" s="47" t="n"/>
      <c r="E1715" s="47" t="n"/>
      <c r="F1715" s="47" t="n"/>
    </row>
    <row r="1716">
      <c r="A1716" s="16">
        <f>IF($B1716="","",COUNTA($B$4:$B1716))</f>
        <v/>
      </c>
      <c r="B1716" s="71" t="n"/>
      <c r="C1716" s="38" t="n"/>
      <c r="D1716" s="45" t="n"/>
      <c r="E1716" s="45" t="n"/>
      <c r="F1716" s="45" t="n"/>
    </row>
    <row r="1717">
      <c r="A1717" s="16">
        <f>IF($B1717="","",COUNTA($B$4:$B1717))</f>
        <v/>
      </c>
      <c r="B1717" s="72" t="n"/>
      <c r="C1717" s="40" t="n"/>
      <c r="D1717" s="47" t="n"/>
      <c r="E1717" s="47" t="n"/>
      <c r="F1717" s="47" t="n"/>
    </row>
    <row r="1718">
      <c r="A1718" s="16">
        <f>IF($B1718="","",COUNTA($B$4:$B1718))</f>
        <v/>
      </c>
      <c r="B1718" s="71" t="n"/>
      <c r="C1718" s="38" t="n"/>
      <c r="D1718" s="45" t="n"/>
      <c r="E1718" s="45" t="n"/>
      <c r="F1718" s="45" t="n"/>
    </row>
    <row r="1719">
      <c r="A1719" s="16">
        <f>IF($B1719="","",COUNTA($B$4:$B1719))</f>
        <v/>
      </c>
      <c r="B1719" s="72" t="n"/>
      <c r="C1719" s="40" t="n"/>
      <c r="D1719" s="47" t="n"/>
      <c r="E1719" s="47" t="n"/>
      <c r="F1719" s="47" t="n"/>
    </row>
    <row r="1720">
      <c r="A1720" s="16">
        <f>IF($B1720="","",COUNTA($B$4:$B1720))</f>
        <v/>
      </c>
      <c r="B1720" s="71" t="n"/>
      <c r="C1720" s="38" t="n"/>
      <c r="D1720" s="45" t="n"/>
      <c r="E1720" s="45" t="n"/>
      <c r="F1720" s="45" t="n"/>
    </row>
    <row r="1721">
      <c r="A1721" s="16">
        <f>IF($B1721="","",COUNTA($B$4:$B1721))</f>
        <v/>
      </c>
      <c r="B1721" s="72" t="n"/>
      <c r="C1721" s="40" t="n"/>
      <c r="D1721" s="47" t="n"/>
      <c r="E1721" s="47" t="n"/>
      <c r="F1721" s="47" t="n"/>
    </row>
    <row r="1722">
      <c r="A1722" s="16">
        <f>IF($B1722="","",COUNTA($B$4:$B1722))</f>
        <v/>
      </c>
      <c r="B1722" s="71" t="n"/>
      <c r="C1722" s="38" t="n"/>
      <c r="D1722" s="45" t="n"/>
      <c r="E1722" s="45" t="n"/>
      <c r="F1722" s="45" t="n"/>
    </row>
    <row r="1723">
      <c r="A1723" s="16">
        <f>IF($B1723="","",COUNTA($B$4:$B1723))</f>
        <v/>
      </c>
      <c r="B1723" s="72" t="n"/>
      <c r="C1723" s="40" t="n"/>
      <c r="D1723" s="47" t="n"/>
      <c r="E1723" s="47" t="n"/>
      <c r="F1723" s="47" t="n"/>
    </row>
    <row r="1724">
      <c r="A1724" s="16">
        <f>IF($B1724="","",COUNTA($B$4:$B1724))</f>
        <v/>
      </c>
      <c r="B1724" s="71" t="n"/>
      <c r="C1724" s="38" t="n"/>
      <c r="D1724" s="45" t="n"/>
      <c r="E1724" s="45" t="n"/>
      <c r="F1724" s="45" t="n"/>
    </row>
    <row r="1725">
      <c r="A1725" s="16">
        <f>IF($B1725="","",COUNTA($B$4:$B1725))</f>
        <v/>
      </c>
      <c r="B1725" s="72" t="n"/>
      <c r="C1725" s="40" t="n"/>
      <c r="D1725" s="47" t="n"/>
      <c r="E1725" s="47" t="n"/>
      <c r="F1725" s="47" t="n"/>
    </row>
    <row r="1726">
      <c r="A1726" s="16">
        <f>IF($B1726="","",COUNTA($B$4:$B1726))</f>
        <v/>
      </c>
      <c r="B1726" s="71" t="n"/>
      <c r="C1726" s="38" t="n"/>
      <c r="D1726" s="45" t="n"/>
      <c r="E1726" s="45" t="n"/>
      <c r="F1726" s="45" t="n"/>
    </row>
    <row r="1727">
      <c r="A1727" s="16">
        <f>IF($B1727="","",COUNTA($B$4:$B1727))</f>
        <v/>
      </c>
      <c r="B1727" s="72" t="n"/>
      <c r="C1727" s="40" t="n"/>
      <c r="D1727" s="47" t="n"/>
      <c r="E1727" s="47" t="n"/>
      <c r="F1727" s="47" t="n"/>
    </row>
    <row r="1728">
      <c r="A1728" s="16">
        <f>IF($B1728="","",COUNTA($B$4:$B1728))</f>
        <v/>
      </c>
      <c r="B1728" s="71" t="n"/>
      <c r="C1728" s="38" t="n"/>
      <c r="D1728" s="45" t="n"/>
      <c r="E1728" s="45" t="n"/>
      <c r="F1728" s="45" t="n"/>
    </row>
    <row r="1729">
      <c r="A1729" s="16">
        <f>IF($B1729="","",COUNTA($B$4:$B1729))</f>
        <v/>
      </c>
      <c r="B1729" s="72" t="n"/>
      <c r="C1729" s="40" t="n"/>
      <c r="D1729" s="47" t="n"/>
      <c r="E1729" s="47" t="n"/>
      <c r="F1729" s="47" t="n"/>
    </row>
    <row r="1730">
      <c r="A1730" s="16">
        <f>IF($B1730="","",COUNTA($B$4:$B1730))</f>
        <v/>
      </c>
      <c r="B1730" s="71" t="n"/>
      <c r="C1730" s="38" t="n"/>
      <c r="D1730" s="45" t="n"/>
      <c r="E1730" s="45" t="n"/>
      <c r="F1730" s="45" t="n"/>
    </row>
    <row r="1731">
      <c r="A1731" s="16">
        <f>IF($B1731="","",COUNTA($B$4:$B1731))</f>
        <v/>
      </c>
      <c r="B1731" s="72" t="n"/>
      <c r="C1731" s="40" t="n"/>
      <c r="D1731" s="47" t="n"/>
      <c r="E1731" s="47" t="n"/>
      <c r="F1731" s="47" t="n"/>
    </row>
    <row r="1732">
      <c r="A1732" s="16">
        <f>IF($B1732="","",COUNTA($B$4:$B1732))</f>
        <v/>
      </c>
      <c r="B1732" s="71" t="n"/>
      <c r="C1732" s="38" t="n"/>
      <c r="D1732" s="45" t="n"/>
      <c r="E1732" s="45" t="n"/>
      <c r="F1732" s="45" t="n"/>
    </row>
    <row r="1733">
      <c r="A1733" s="16">
        <f>IF($B1733="","",COUNTA($B$4:$B1733))</f>
        <v/>
      </c>
      <c r="B1733" s="72" t="n"/>
      <c r="C1733" s="40" t="n"/>
      <c r="D1733" s="47" t="n"/>
      <c r="E1733" s="47" t="n"/>
      <c r="F1733" s="47" t="n"/>
    </row>
    <row r="1734">
      <c r="A1734" s="16">
        <f>IF($B1734="","",COUNTA($B$4:$B1734))</f>
        <v/>
      </c>
      <c r="B1734" s="71" t="n"/>
      <c r="C1734" s="38" t="n"/>
      <c r="D1734" s="45" t="n"/>
      <c r="E1734" s="45" t="n"/>
      <c r="F1734" s="45" t="n"/>
    </row>
    <row r="1735">
      <c r="A1735" s="16">
        <f>IF($B1735="","",COUNTA($B$4:$B1735))</f>
        <v/>
      </c>
      <c r="B1735" s="72" t="n"/>
      <c r="C1735" s="40" t="n"/>
      <c r="D1735" s="47" t="n"/>
      <c r="E1735" s="47" t="n"/>
      <c r="F1735" s="47" t="n"/>
    </row>
    <row r="1736">
      <c r="A1736" s="16">
        <f>IF($B1736="","",COUNTA($B$4:$B1736))</f>
        <v/>
      </c>
      <c r="B1736" s="71" t="n"/>
      <c r="C1736" s="38" t="n"/>
      <c r="D1736" s="45" t="n"/>
      <c r="E1736" s="45" t="n"/>
      <c r="F1736" s="45" t="n"/>
    </row>
    <row r="1737">
      <c r="A1737" s="16">
        <f>IF($B1737="","",COUNTA($B$4:$B1737))</f>
        <v/>
      </c>
      <c r="B1737" s="72" t="n"/>
      <c r="C1737" s="40" t="n"/>
      <c r="D1737" s="47" t="n"/>
      <c r="E1737" s="47" t="n"/>
      <c r="F1737" s="47" t="n"/>
    </row>
    <row r="1738">
      <c r="A1738" s="16">
        <f>IF($B1738="","",COUNTA($B$4:$B1738))</f>
        <v/>
      </c>
      <c r="B1738" s="71" t="n"/>
      <c r="C1738" s="38" t="n"/>
      <c r="D1738" s="45" t="n"/>
      <c r="E1738" s="45" t="n"/>
      <c r="F1738" s="45" t="n"/>
    </row>
    <row r="1739">
      <c r="A1739" s="16">
        <f>IF($B1739="","",COUNTA($B$4:$B1739))</f>
        <v/>
      </c>
      <c r="B1739" s="72" t="n"/>
      <c r="C1739" s="40" t="n"/>
      <c r="D1739" s="47" t="n"/>
      <c r="E1739" s="47" t="n"/>
      <c r="F1739" s="47" t="n"/>
    </row>
    <row r="1740">
      <c r="A1740" s="16">
        <f>IF($B1740="","",COUNTA($B$4:$B1740))</f>
        <v/>
      </c>
      <c r="B1740" s="71" t="n"/>
      <c r="C1740" s="38" t="n"/>
      <c r="D1740" s="45" t="n"/>
      <c r="E1740" s="45" t="n"/>
      <c r="F1740" s="45" t="n"/>
    </row>
    <row r="1741">
      <c r="A1741" s="16">
        <f>IF($B1741="","",COUNTA($B$4:$B1741))</f>
        <v/>
      </c>
      <c r="B1741" s="72" t="n"/>
      <c r="C1741" s="40" t="n"/>
      <c r="D1741" s="47" t="n"/>
      <c r="E1741" s="47" t="n"/>
      <c r="F1741" s="47" t="n"/>
    </row>
    <row r="1742">
      <c r="A1742" s="16">
        <f>IF($B1742="","",COUNTA($B$4:$B1742))</f>
        <v/>
      </c>
      <c r="B1742" s="71" t="n"/>
      <c r="C1742" s="38" t="n"/>
      <c r="D1742" s="45" t="n"/>
      <c r="E1742" s="45" t="n"/>
      <c r="F1742" s="45" t="n"/>
    </row>
    <row r="1743">
      <c r="A1743" s="16">
        <f>IF($B1743="","",COUNTA($B$4:$B1743))</f>
        <v/>
      </c>
      <c r="B1743" s="72" t="n"/>
      <c r="C1743" s="40" t="n"/>
      <c r="D1743" s="47" t="n"/>
      <c r="E1743" s="47" t="n"/>
      <c r="F1743" s="47" t="n"/>
    </row>
    <row r="1744">
      <c r="A1744" s="16">
        <f>IF($B1744="","",COUNTA($B$4:$B1744))</f>
        <v/>
      </c>
      <c r="B1744" s="71" t="n"/>
      <c r="C1744" s="38" t="n"/>
      <c r="D1744" s="45" t="n"/>
      <c r="E1744" s="45" t="n"/>
      <c r="F1744" s="45" t="n"/>
    </row>
    <row r="1745">
      <c r="A1745" s="16">
        <f>IF($B1745="","",COUNTA($B$4:$B1745))</f>
        <v/>
      </c>
      <c r="B1745" s="72" t="n"/>
      <c r="C1745" s="40" t="n"/>
      <c r="D1745" s="47" t="n"/>
      <c r="E1745" s="47" t="n"/>
      <c r="F1745" s="47" t="n"/>
    </row>
    <row r="1746">
      <c r="A1746" s="16">
        <f>IF($B1746="","",COUNTA($B$4:$B1746))</f>
        <v/>
      </c>
      <c r="B1746" s="71" t="n"/>
      <c r="C1746" s="38" t="n"/>
      <c r="D1746" s="45" t="n"/>
      <c r="E1746" s="45" t="n"/>
      <c r="F1746" s="45" t="n"/>
    </row>
    <row r="1747">
      <c r="A1747" s="16">
        <f>IF($B1747="","",COUNTA($B$4:$B1747))</f>
        <v/>
      </c>
      <c r="B1747" s="72" t="n"/>
      <c r="C1747" s="40" t="n"/>
      <c r="D1747" s="47" t="n"/>
      <c r="E1747" s="47" t="n"/>
      <c r="F1747" s="47" t="n"/>
    </row>
    <row r="1748">
      <c r="A1748" s="16">
        <f>IF($B1748="","",COUNTA($B$4:$B1748))</f>
        <v/>
      </c>
      <c r="B1748" s="71" t="n"/>
      <c r="C1748" s="38" t="n"/>
      <c r="D1748" s="45" t="n"/>
      <c r="E1748" s="45" t="n"/>
      <c r="F1748" s="45" t="n"/>
    </row>
    <row r="1749">
      <c r="A1749" s="16">
        <f>IF($B1749="","",COUNTA($B$4:$B1749))</f>
        <v/>
      </c>
      <c r="B1749" s="72" t="n"/>
      <c r="C1749" s="40" t="n"/>
      <c r="D1749" s="47" t="n"/>
      <c r="E1749" s="47" t="n"/>
      <c r="F1749" s="47" t="n"/>
    </row>
    <row r="1750">
      <c r="A1750" s="16">
        <f>IF($B1750="","",COUNTA($B$4:$B1750))</f>
        <v/>
      </c>
      <c r="B1750" s="71" t="n"/>
      <c r="C1750" s="38" t="n"/>
      <c r="D1750" s="45" t="n"/>
      <c r="E1750" s="45" t="n"/>
      <c r="F1750" s="45" t="n"/>
    </row>
    <row r="1751">
      <c r="A1751" s="16">
        <f>IF($B1751="","",COUNTA($B$4:$B1751))</f>
        <v/>
      </c>
      <c r="B1751" s="72" t="n"/>
      <c r="C1751" s="40" t="n"/>
      <c r="D1751" s="47" t="n"/>
      <c r="E1751" s="47" t="n"/>
      <c r="F1751" s="47" t="n"/>
    </row>
    <row r="1752">
      <c r="A1752" s="16">
        <f>IF($B1752="","",COUNTA($B$4:$B1752))</f>
        <v/>
      </c>
      <c r="B1752" s="71" t="n"/>
      <c r="C1752" s="38" t="n"/>
      <c r="D1752" s="45" t="n"/>
      <c r="E1752" s="45" t="n"/>
      <c r="F1752" s="45" t="n"/>
    </row>
    <row r="1753">
      <c r="A1753" s="16">
        <f>IF($B1753="","",COUNTA($B$4:$B1753))</f>
        <v/>
      </c>
      <c r="B1753" s="72" t="n"/>
      <c r="C1753" s="40" t="n"/>
      <c r="D1753" s="47" t="n"/>
      <c r="E1753" s="47" t="n"/>
      <c r="F1753" s="47" t="n"/>
    </row>
    <row r="1754">
      <c r="A1754" s="16">
        <f>IF($B1754="","",COUNTA($B$4:$B1754))</f>
        <v/>
      </c>
      <c r="B1754" s="71" t="n"/>
      <c r="C1754" s="38" t="n"/>
      <c r="D1754" s="45" t="n"/>
      <c r="E1754" s="45" t="n"/>
      <c r="F1754" s="45" t="n"/>
    </row>
    <row r="1755">
      <c r="A1755" s="16">
        <f>IF($B1755="","",COUNTA($B$4:$B1755))</f>
        <v/>
      </c>
      <c r="B1755" s="72" t="n"/>
      <c r="C1755" s="40" t="n"/>
      <c r="D1755" s="47" t="n"/>
      <c r="E1755" s="47" t="n"/>
      <c r="F1755" s="47" t="n"/>
    </row>
    <row r="1756">
      <c r="A1756" s="16">
        <f>IF($B1756="","",COUNTA($B$4:$B1756))</f>
        <v/>
      </c>
      <c r="B1756" s="71" t="n"/>
      <c r="C1756" s="38" t="n"/>
      <c r="D1756" s="45" t="n"/>
      <c r="E1756" s="45" t="n"/>
      <c r="F1756" s="45" t="n"/>
    </row>
    <row r="1757">
      <c r="A1757" s="16">
        <f>IF($B1757="","",COUNTA($B$4:$B1757))</f>
        <v/>
      </c>
      <c r="B1757" s="72" t="n"/>
      <c r="C1757" s="40" t="n"/>
      <c r="D1757" s="47" t="n"/>
      <c r="E1757" s="47" t="n"/>
      <c r="F1757" s="47" t="n"/>
    </row>
    <row r="1758">
      <c r="A1758" s="16">
        <f>IF($B1758="","",COUNTA($B$4:$B1758))</f>
        <v/>
      </c>
      <c r="B1758" s="71" t="n"/>
      <c r="C1758" s="38" t="n"/>
      <c r="D1758" s="45" t="n"/>
      <c r="E1758" s="45" t="n"/>
      <c r="F1758" s="45" t="n"/>
    </row>
    <row r="1759">
      <c r="A1759" s="16">
        <f>IF($B1759="","",COUNTA($B$4:$B1759))</f>
        <v/>
      </c>
      <c r="B1759" s="72" t="n"/>
      <c r="C1759" s="40" t="n"/>
      <c r="D1759" s="47" t="n"/>
      <c r="E1759" s="47" t="n"/>
      <c r="F1759" s="47" t="n"/>
    </row>
    <row r="1760">
      <c r="A1760" s="16">
        <f>IF($B1760="","",COUNTA($B$4:$B1760))</f>
        <v/>
      </c>
      <c r="B1760" s="71" t="n"/>
      <c r="C1760" s="38" t="n"/>
      <c r="D1760" s="45" t="n"/>
      <c r="E1760" s="45" t="n"/>
      <c r="F1760" s="45" t="n"/>
    </row>
    <row r="1761">
      <c r="A1761" s="16">
        <f>IF($B1761="","",COUNTA($B$4:$B1761))</f>
        <v/>
      </c>
      <c r="B1761" s="72" t="n"/>
      <c r="C1761" s="40" t="n"/>
      <c r="D1761" s="47" t="n"/>
      <c r="E1761" s="47" t="n"/>
      <c r="F1761" s="47" t="n"/>
    </row>
    <row r="1762">
      <c r="A1762" s="16">
        <f>IF($B1762="","",COUNTA($B$4:$B1762))</f>
        <v/>
      </c>
      <c r="B1762" s="71" t="n"/>
      <c r="C1762" s="38" t="n"/>
      <c r="D1762" s="45" t="n"/>
      <c r="E1762" s="45" t="n"/>
      <c r="F1762" s="45" t="n"/>
    </row>
    <row r="1763">
      <c r="A1763" s="16">
        <f>IF($B1763="","",COUNTA($B$4:$B1763))</f>
        <v/>
      </c>
      <c r="B1763" s="72" t="n"/>
      <c r="C1763" s="40" t="n"/>
      <c r="D1763" s="47" t="n"/>
      <c r="E1763" s="47" t="n"/>
      <c r="F1763" s="47" t="n"/>
    </row>
    <row r="1764">
      <c r="A1764" s="16">
        <f>IF($B1764="","",COUNTA($B$4:$B1764))</f>
        <v/>
      </c>
      <c r="B1764" s="71" t="n"/>
      <c r="C1764" s="38" t="n"/>
      <c r="D1764" s="45" t="n"/>
      <c r="E1764" s="45" t="n"/>
      <c r="F1764" s="45" t="n"/>
    </row>
    <row r="1765">
      <c r="A1765" s="16">
        <f>IF($B1765="","",COUNTA($B$4:$B1765))</f>
        <v/>
      </c>
      <c r="B1765" s="72" t="n"/>
      <c r="C1765" s="40" t="n"/>
      <c r="D1765" s="47" t="n"/>
      <c r="E1765" s="47" t="n"/>
      <c r="F1765" s="47" t="n"/>
    </row>
    <row r="1766">
      <c r="A1766" s="16">
        <f>IF($B1766="","",COUNTA($B$4:$B1766))</f>
        <v/>
      </c>
      <c r="B1766" s="71" t="n"/>
      <c r="C1766" s="38" t="n"/>
      <c r="D1766" s="45" t="n"/>
      <c r="E1766" s="45" t="n"/>
      <c r="F1766" s="45" t="n"/>
    </row>
    <row r="1767">
      <c r="A1767" s="16">
        <f>IF($B1767="","",COUNTA($B$4:$B1767))</f>
        <v/>
      </c>
      <c r="B1767" s="72" t="n"/>
      <c r="C1767" s="40" t="n"/>
      <c r="D1767" s="47" t="n"/>
      <c r="E1767" s="47" t="n"/>
      <c r="F1767" s="47" t="n"/>
    </row>
    <row r="1768">
      <c r="A1768" s="16">
        <f>IF($B1768="","",COUNTA($B$4:$B1768))</f>
        <v/>
      </c>
      <c r="B1768" s="71" t="n"/>
      <c r="C1768" s="38" t="n"/>
      <c r="D1768" s="45" t="n"/>
      <c r="E1768" s="45" t="n"/>
      <c r="F1768" s="45" t="n"/>
    </row>
    <row r="1769">
      <c r="A1769" s="16">
        <f>IF($B1769="","",COUNTA($B$4:$B1769))</f>
        <v/>
      </c>
      <c r="B1769" s="72" t="n"/>
      <c r="C1769" s="40" t="n"/>
      <c r="D1769" s="47" t="n"/>
      <c r="E1769" s="47" t="n"/>
      <c r="F1769" s="47" t="n"/>
    </row>
    <row r="1770">
      <c r="A1770" s="16">
        <f>IF($B1770="","",COUNTA($B$4:$B1770))</f>
        <v/>
      </c>
      <c r="B1770" s="71" t="n"/>
      <c r="C1770" s="38" t="n"/>
      <c r="D1770" s="45" t="n"/>
      <c r="E1770" s="45" t="n"/>
      <c r="F1770" s="45" t="n"/>
    </row>
    <row r="1771">
      <c r="A1771" s="16">
        <f>IF($B1771="","",COUNTA($B$4:$B1771))</f>
        <v/>
      </c>
      <c r="B1771" s="72" t="n"/>
      <c r="C1771" s="40" t="n"/>
      <c r="D1771" s="47" t="n"/>
      <c r="E1771" s="47" t="n"/>
      <c r="F1771" s="47" t="n"/>
    </row>
    <row r="1772">
      <c r="A1772" s="16">
        <f>IF($B1772="","",COUNTA($B$4:$B1772))</f>
        <v/>
      </c>
      <c r="B1772" s="71" t="n"/>
      <c r="C1772" s="38" t="n"/>
      <c r="D1772" s="45" t="n"/>
      <c r="E1772" s="45" t="n"/>
      <c r="F1772" s="45" t="n"/>
    </row>
    <row r="1773">
      <c r="A1773" s="16">
        <f>IF($B1773="","",COUNTA($B$4:$B1773))</f>
        <v/>
      </c>
      <c r="B1773" s="72" t="n"/>
      <c r="C1773" s="40" t="n"/>
      <c r="D1773" s="47" t="n"/>
      <c r="E1773" s="47" t="n"/>
      <c r="F1773" s="47" t="n"/>
    </row>
    <row r="1774">
      <c r="A1774" s="16">
        <f>IF($B1774="","",COUNTA($B$4:$B1774))</f>
        <v/>
      </c>
      <c r="B1774" s="71" t="n"/>
      <c r="C1774" s="38" t="n"/>
      <c r="D1774" s="45" t="n"/>
      <c r="E1774" s="45" t="n"/>
      <c r="F1774" s="45" t="n"/>
    </row>
    <row r="1775">
      <c r="A1775" s="16">
        <f>IF($B1775="","",COUNTA($B$4:$B1775))</f>
        <v/>
      </c>
      <c r="B1775" s="72" t="n"/>
      <c r="C1775" s="40" t="n"/>
      <c r="D1775" s="47" t="n"/>
      <c r="E1775" s="47" t="n"/>
      <c r="F1775" s="47" t="n"/>
    </row>
    <row r="1776">
      <c r="A1776" s="16">
        <f>IF($B1776="","",COUNTA($B$4:$B1776))</f>
        <v/>
      </c>
      <c r="B1776" s="71" t="n"/>
      <c r="C1776" s="38" t="n"/>
      <c r="D1776" s="45" t="n"/>
      <c r="E1776" s="45" t="n"/>
      <c r="F1776" s="45" t="n"/>
    </row>
    <row r="1777">
      <c r="A1777" s="16">
        <f>IF($B1777="","",COUNTA($B$4:$B1777))</f>
        <v/>
      </c>
      <c r="B1777" s="72" t="n"/>
      <c r="C1777" s="40" t="n"/>
      <c r="D1777" s="47" t="n"/>
      <c r="E1777" s="47" t="n"/>
      <c r="F1777" s="47" t="n"/>
    </row>
    <row r="1778">
      <c r="A1778" s="16">
        <f>IF($B1778="","",COUNTA($B$4:$B1778))</f>
        <v/>
      </c>
      <c r="B1778" s="71" t="n"/>
      <c r="C1778" s="38" t="n"/>
      <c r="D1778" s="45" t="n"/>
      <c r="E1778" s="45" t="n"/>
      <c r="F1778" s="45" t="n"/>
    </row>
    <row r="1779">
      <c r="A1779" s="16">
        <f>IF($B1779="","",COUNTA($B$4:$B1779))</f>
        <v/>
      </c>
      <c r="B1779" s="72" t="n"/>
      <c r="C1779" s="40" t="n"/>
      <c r="D1779" s="47" t="n"/>
      <c r="E1779" s="47" t="n"/>
      <c r="F1779" s="47" t="n"/>
    </row>
    <row r="1780">
      <c r="A1780" s="16">
        <f>IF($B1780="","",COUNTA($B$4:$B1780))</f>
        <v/>
      </c>
      <c r="B1780" s="71" t="n"/>
      <c r="C1780" s="38" t="n"/>
      <c r="D1780" s="45" t="n"/>
      <c r="E1780" s="45" t="n"/>
      <c r="F1780" s="45" t="n"/>
    </row>
    <row r="1781">
      <c r="A1781" s="16">
        <f>IF($B1781="","",COUNTA($B$4:$B1781))</f>
        <v/>
      </c>
      <c r="B1781" s="72" t="n"/>
      <c r="C1781" s="40" t="n"/>
      <c r="D1781" s="47" t="n"/>
      <c r="E1781" s="47" t="n"/>
      <c r="F1781" s="47" t="n"/>
    </row>
    <row r="1782">
      <c r="A1782" s="16">
        <f>IF($B1782="","",COUNTA($B$4:$B1782))</f>
        <v/>
      </c>
      <c r="B1782" s="71" t="n"/>
      <c r="C1782" s="38" t="n"/>
      <c r="D1782" s="45" t="n"/>
      <c r="E1782" s="45" t="n"/>
      <c r="F1782" s="45" t="n"/>
    </row>
    <row r="1783">
      <c r="A1783" s="16">
        <f>IF($B1783="","",COUNTA($B$4:$B1783))</f>
        <v/>
      </c>
      <c r="B1783" s="72" t="n"/>
      <c r="C1783" s="40" t="n"/>
      <c r="D1783" s="47" t="n"/>
      <c r="E1783" s="47" t="n"/>
      <c r="F1783" s="47" t="n"/>
    </row>
    <row r="1784">
      <c r="A1784" s="16">
        <f>IF($B1784="","",COUNTA($B$4:$B1784))</f>
        <v/>
      </c>
      <c r="B1784" s="71" t="n"/>
      <c r="C1784" s="38" t="n"/>
      <c r="D1784" s="45" t="n"/>
      <c r="E1784" s="45" t="n"/>
      <c r="F1784" s="45" t="n"/>
    </row>
    <row r="1785">
      <c r="A1785" s="16">
        <f>IF($B1785="","",COUNTA($B$4:$B1785))</f>
        <v/>
      </c>
      <c r="B1785" s="72" t="n"/>
      <c r="C1785" s="40" t="n"/>
      <c r="D1785" s="47" t="n"/>
      <c r="E1785" s="47" t="n"/>
      <c r="F1785" s="47" t="n"/>
    </row>
    <row r="1786">
      <c r="A1786" s="16">
        <f>IF($B1786="","",COUNTA($B$4:$B1786))</f>
        <v/>
      </c>
      <c r="B1786" s="71" t="n"/>
      <c r="C1786" s="38" t="n"/>
      <c r="D1786" s="45" t="n"/>
      <c r="E1786" s="45" t="n"/>
      <c r="F1786" s="45" t="n"/>
    </row>
    <row r="1787">
      <c r="A1787" s="16">
        <f>IF($B1787="","",COUNTA($B$4:$B1787))</f>
        <v/>
      </c>
      <c r="B1787" s="72" t="n"/>
      <c r="C1787" s="40" t="n"/>
      <c r="D1787" s="47" t="n"/>
      <c r="E1787" s="47" t="n"/>
      <c r="F1787" s="47" t="n"/>
    </row>
    <row r="1788">
      <c r="A1788" s="16">
        <f>IF($B1788="","",COUNTA($B$4:$B1788))</f>
        <v/>
      </c>
      <c r="B1788" s="71" t="n"/>
      <c r="C1788" s="38" t="n"/>
      <c r="D1788" s="45" t="n"/>
      <c r="E1788" s="45" t="n"/>
      <c r="F1788" s="45" t="n"/>
    </row>
    <row r="1789">
      <c r="A1789" s="16">
        <f>IF($B1789="","",COUNTA($B$4:$B1789))</f>
        <v/>
      </c>
      <c r="B1789" s="72" t="n"/>
      <c r="C1789" s="40" t="n"/>
      <c r="D1789" s="47" t="n"/>
      <c r="E1789" s="47" t="n"/>
      <c r="F1789" s="47" t="n"/>
    </row>
    <row r="1790">
      <c r="A1790" s="16">
        <f>IF($B1790="","",COUNTA($B$4:$B1790))</f>
        <v/>
      </c>
      <c r="B1790" s="71" t="n"/>
      <c r="C1790" s="38" t="n"/>
      <c r="D1790" s="45" t="n"/>
      <c r="E1790" s="45" t="n"/>
      <c r="F1790" s="45" t="n"/>
    </row>
    <row r="1791">
      <c r="A1791" s="16">
        <f>IF($B1791="","",COUNTA($B$4:$B1791))</f>
        <v/>
      </c>
      <c r="B1791" s="72" t="n"/>
      <c r="C1791" s="40" t="n"/>
      <c r="D1791" s="47" t="n"/>
      <c r="E1791" s="47" t="n"/>
      <c r="F1791" s="47" t="n"/>
    </row>
    <row r="1792">
      <c r="A1792" s="16">
        <f>IF($B1792="","",COUNTA($B$4:$B1792))</f>
        <v/>
      </c>
      <c r="B1792" s="71" t="n"/>
      <c r="C1792" s="38" t="n"/>
      <c r="D1792" s="45" t="n"/>
      <c r="E1792" s="45" t="n"/>
      <c r="F1792" s="45" t="n"/>
    </row>
    <row r="1793">
      <c r="A1793" s="16">
        <f>IF($B1793="","",COUNTA($B$4:$B1793))</f>
        <v/>
      </c>
      <c r="B1793" s="72" t="n"/>
      <c r="C1793" s="40" t="n"/>
      <c r="D1793" s="47" t="n"/>
      <c r="E1793" s="47" t="n"/>
      <c r="F1793" s="47" t="n"/>
    </row>
    <row r="1794">
      <c r="A1794" s="16">
        <f>IF($B1794="","",COUNTA($B$4:$B1794))</f>
        <v/>
      </c>
      <c r="B1794" s="71" t="n"/>
      <c r="C1794" s="38" t="n"/>
      <c r="D1794" s="45" t="n"/>
      <c r="E1794" s="45" t="n"/>
      <c r="F1794" s="45" t="n"/>
    </row>
    <row r="1795">
      <c r="A1795" s="16">
        <f>IF($B1795="","",COUNTA($B$4:$B1795))</f>
        <v/>
      </c>
      <c r="B1795" s="72" t="n"/>
      <c r="C1795" s="40" t="n"/>
      <c r="D1795" s="47" t="n"/>
      <c r="E1795" s="47" t="n"/>
      <c r="F1795" s="47" t="n"/>
    </row>
    <row r="1796">
      <c r="A1796" s="16">
        <f>IF($B1796="","",COUNTA($B$4:$B1796))</f>
        <v/>
      </c>
      <c r="B1796" s="71" t="n"/>
      <c r="C1796" s="38" t="n"/>
      <c r="D1796" s="45" t="n"/>
      <c r="E1796" s="45" t="n"/>
      <c r="F1796" s="45" t="n"/>
    </row>
    <row r="1797">
      <c r="A1797" s="16">
        <f>IF($B1797="","",COUNTA($B$4:$B1797))</f>
        <v/>
      </c>
      <c r="B1797" s="72" t="n"/>
      <c r="C1797" s="40" t="n"/>
      <c r="D1797" s="47" t="n"/>
      <c r="E1797" s="47" t="n"/>
      <c r="F1797" s="47" t="n"/>
    </row>
    <row r="1798">
      <c r="A1798" s="16">
        <f>IF($B1798="","",COUNTA($B$4:$B1798))</f>
        <v/>
      </c>
      <c r="B1798" s="71" t="n"/>
      <c r="C1798" s="38" t="n"/>
      <c r="D1798" s="45" t="n"/>
      <c r="E1798" s="45" t="n"/>
      <c r="F1798" s="45" t="n"/>
    </row>
    <row r="1799">
      <c r="A1799" s="16">
        <f>IF($B1799="","",COUNTA($B$4:$B1799))</f>
        <v/>
      </c>
      <c r="B1799" s="72" t="n"/>
      <c r="C1799" s="40" t="n"/>
      <c r="D1799" s="47" t="n"/>
      <c r="E1799" s="47" t="n"/>
      <c r="F1799" s="47" t="n"/>
    </row>
    <row r="1800">
      <c r="A1800" s="16">
        <f>IF($B1800="","",COUNTA($B$4:$B1800))</f>
        <v/>
      </c>
      <c r="B1800" s="71" t="n"/>
      <c r="C1800" s="38" t="n"/>
      <c r="D1800" s="45" t="n"/>
      <c r="E1800" s="45" t="n"/>
      <c r="F1800" s="45" t="n"/>
    </row>
    <row r="1801">
      <c r="A1801" s="16">
        <f>IF($B1801="","",COUNTA($B$4:$B1801))</f>
        <v/>
      </c>
      <c r="B1801" s="72" t="n"/>
      <c r="C1801" s="40" t="n"/>
      <c r="D1801" s="47" t="n"/>
      <c r="E1801" s="47" t="n"/>
      <c r="F1801" s="47" t="n"/>
    </row>
    <row r="1802">
      <c r="A1802" s="16">
        <f>IF($B1802="","",COUNTA($B$4:$B1802))</f>
        <v/>
      </c>
      <c r="B1802" s="71" t="n"/>
      <c r="C1802" s="38" t="n"/>
      <c r="D1802" s="45" t="n"/>
      <c r="E1802" s="45" t="n"/>
      <c r="F1802" s="45" t="n"/>
    </row>
    <row r="1803">
      <c r="A1803" s="16">
        <f>IF($B1803="","",COUNTA($B$4:$B1803))</f>
        <v/>
      </c>
      <c r="B1803" s="72" t="n"/>
      <c r="C1803" s="40" t="n"/>
      <c r="D1803" s="47" t="n"/>
      <c r="E1803" s="47" t="n"/>
      <c r="F1803" s="47" t="n"/>
    </row>
    <row r="1804">
      <c r="A1804" s="16">
        <f>IF($B1804="","",COUNTA($B$4:$B1804))</f>
        <v/>
      </c>
      <c r="B1804" s="71" t="n"/>
      <c r="C1804" s="38" t="n"/>
      <c r="D1804" s="45" t="n"/>
      <c r="E1804" s="45" t="n"/>
      <c r="F1804" s="45" t="n"/>
    </row>
    <row r="1805">
      <c r="A1805" s="16">
        <f>IF($B1805="","",COUNTA($B$4:$B1805))</f>
        <v/>
      </c>
      <c r="B1805" s="72" t="n"/>
      <c r="C1805" s="40" t="n"/>
      <c r="D1805" s="47" t="n"/>
      <c r="E1805" s="47" t="n"/>
      <c r="F1805" s="47" t="n"/>
    </row>
    <row r="1806">
      <c r="A1806" s="16">
        <f>IF($B1806="","",COUNTA($B$4:$B1806))</f>
        <v/>
      </c>
      <c r="B1806" s="71" t="n"/>
      <c r="C1806" s="38" t="n"/>
      <c r="D1806" s="45" t="n"/>
      <c r="E1806" s="45" t="n"/>
      <c r="F1806" s="45" t="n"/>
    </row>
    <row r="1807">
      <c r="A1807" s="16">
        <f>IF($B1807="","",COUNTA($B$4:$B1807))</f>
        <v/>
      </c>
      <c r="B1807" s="72" t="n"/>
      <c r="C1807" s="40" t="n"/>
      <c r="D1807" s="47" t="n"/>
      <c r="E1807" s="47" t="n"/>
      <c r="F1807" s="47" t="n"/>
    </row>
    <row r="1808">
      <c r="A1808" s="16">
        <f>IF($B1808="","",COUNTA($B$4:$B1808))</f>
        <v/>
      </c>
      <c r="B1808" s="71" t="n"/>
      <c r="C1808" s="38" t="n"/>
      <c r="D1808" s="45" t="n"/>
      <c r="E1808" s="45" t="n"/>
      <c r="F1808" s="45" t="n"/>
    </row>
    <row r="1809">
      <c r="A1809" s="16">
        <f>IF($B1809="","",COUNTA($B$4:$B1809))</f>
        <v/>
      </c>
      <c r="B1809" s="72" t="n"/>
      <c r="C1809" s="40" t="n"/>
      <c r="D1809" s="47" t="n"/>
      <c r="E1809" s="47" t="n"/>
      <c r="F1809" s="47" t="n"/>
    </row>
    <row r="1810">
      <c r="A1810" s="16">
        <f>IF($B1810="","",COUNTA($B$4:$B1810))</f>
        <v/>
      </c>
      <c r="B1810" s="71" t="n"/>
      <c r="C1810" s="38" t="n"/>
      <c r="D1810" s="45" t="n"/>
      <c r="E1810" s="45" t="n"/>
      <c r="F1810" s="45" t="n"/>
    </row>
    <row r="1811">
      <c r="A1811" s="16">
        <f>IF($B1811="","",COUNTA($B$4:$B1811))</f>
        <v/>
      </c>
      <c r="B1811" s="72" t="n"/>
      <c r="C1811" s="40" t="n"/>
      <c r="D1811" s="47" t="n"/>
      <c r="E1811" s="47" t="n"/>
      <c r="F1811" s="47" t="n"/>
    </row>
    <row r="1812">
      <c r="A1812" s="16">
        <f>IF($B1812="","",COUNTA($B$4:$B1812))</f>
        <v/>
      </c>
      <c r="B1812" s="71" t="n"/>
      <c r="C1812" s="38" t="n"/>
      <c r="D1812" s="45" t="n"/>
      <c r="E1812" s="45" t="n"/>
      <c r="F1812" s="45" t="n"/>
    </row>
    <row r="1813">
      <c r="A1813" s="16">
        <f>IF($B1813="","",COUNTA($B$4:$B1813))</f>
        <v/>
      </c>
      <c r="B1813" s="72" t="n"/>
      <c r="C1813" s="40" t="n"/>
      <c r="D1813" s="47" t="n"/>
      <c r="E1813" s="47" t="n"/>
      <c r="F1813" s="47" t="n"/>
    </row>
    <row r="1814">
      <c r="A1814" s="16">
        <f>IF($B1814="","",COUNTA($B$4:$B1814))</f>
        <v/>
      </c>
      <c r="B1814" s="71" t="n"/>
      <c r="C1814" s="38" t="n"/>
      <c r="D1814" s="45" t="n"/>
      <c r="E1814" s="45" t="n"/>
      <c r="F1814" s="45" t="n"/>
    </row>
    <row r="1815">
      <c r="A1815" s="16">
        <f>IF($B1815="","",COUNTA($B$4:$B1815))</f>
        <v/>
      </c>
      <c r="B1815" s="72" t="n"/>
      <c r="C1815" s="40" t="n"/>
      <c r="D1815" s="47" t="n"/>
      <c r="E1815" s="47" t="n"/>
      <c r="F1815" s="47" t="n"/>
    </row>
    <row r="1816">
      <c r="A1816" s="16">
        <f>IF($B1816="","",COUNTA($B$4:$B1816))</f>
        <v/>
      </c>
      <c r="B1816" s="71" t="n"/>
      <c r="C1816" s="38" t="n"/>
      <c r="D1816" s="45" t="n"/>
      <c r="E1816" s="45" t="n"/>
      <c r="F1816" s="45" t="n"/>
    </row>
    <row r="1817">
      <c r="A1817" s="16">
        <f>IF($B1817="","",COUNTA($B$4:$B1817))</f>
        <v/>
      </c>
      <c r="B1817" s="72" t="n"/>
      <c r="C1817" s="40" t="n"/>
      <c r="D1817" s="47" t="n"/>
      <c r="E1817" s="47" t="n"/>
      <c r="F1817" s="47" t="n"/>
    </row>
    <row r="1818">
      <c r="A1818" s="16">
        <f>IF($B1818="","",COUNTA($B$4:$B1818))</f>
        <v/>
      </c>
      <c r="B1818" s="71" t="n"/>
      <c r="C1818" s="38" t="n"/>
      <c r="D1818" s="45" t="n"/>
      <c r="E1818" s="45" t="n"/>
      <c r="F1818" s="45" t="n"/>
    </row>
    <row r="1819">
      <c r="A1819" s="16">
        <f>IF($B1819="","",COUNTA($B$4:$B1819))</f>
        <v/>
      </c>
      <c r="B1819" s="72" t="n"/>
      <c r="C1819" s="40" t="n"/>
      <c r="D1819" s="47" t="n"/>
      <c r="E1819" s="47" t="n"/>
      <c r="F1819" s="47" t="n"/>
    </row>
    <row r="1820">
      <c r="A1820" s="16">
        <f>IF($B1820="","",COUNTA($B$4:$B1820))</f>
        <v/>
      </c>
      <c r="B1820" s="71" t="n"/>
      <c r="C1820" s="38" t="n"/>
      <c r="D1820" s="45" t="n"/>
      <c r="E1820" s="45" t="n"/>
      <c r="F1820" s="45" t="n"/>
    </row>
    <row r="1821">
      <c r="A1821" s="16">
        <f>IF($B1821="","",COUNTA($B$4:$B1821))</f>
        <v/>
      </c>
      <c r="B1821" s="72" t="n"/>
      <c r="C1821" s="40" t="n"/>
      <c r="D1821" s="47" t="n"/>
      <c r="E1821" s="47" t="n"/>
      <c r="F1821" s="47" t="n"/>
    </row>
    <row r="1822">
      <c r="A1822" s="16">
        <f>IF($B1822="","",COUNTA($B$4:$B1822))</f>
        <v/>
      </c>
      <c r="B1822" s="71" t="n"/>
      <c r="C1822" s="38" t="n"/>
      <c r="D1822" s="45" t="n"/>
      <c r="E1822" s="45" t="n"/>
      <c r="F1822" s="45" t="n"/>
    </row>
    <row r="1823">
      <c r="A1823" s="16">
        <f>IF($B1823="","",COUNTA($B$4:$B1823))</f>
        <v/>
      </c>
      <c r="B1823" s="72" t="n"/>
      <c r="C1823" s="40" t="n"/>
      <c r="D1823" s="47" t="n"/>
      <c r="E1823" s="47" t="n"/>
      <c r="F1823" s="47" t="n"/>
    </row>
    <row r="1824">
      <c r="A1824" s="16">
        <f>IF($B1824="","",COUNTA($B$4:$B1824))</f>
        <v/>
      </c>
      <c r="B1824" s="71" t="n"/>
      <c r="C1824" s="38" t="n"/>
      <c r="D1824" s="45" t="n"/>
      <c r="E1824" s="45" t="n"/>
      <c r="F1824" s="45" t="n"/>
    </row>
    <row r="1825">
      <c r="A1825" s="16">
        <f>IF($B1825="","",COUNTA($B$4:$B1825))</f>
        <v/>
      </c>
      <c r="B1825" s="72" t="n"/>
      <c r="C1825" s="40" t="n"/>
      <c r="D1825" s="47" t="n"/>
      <c r="E1825" s="47" t="n"/>
      <c r="F1825" s="47" t="n"/>
    </row>
    <row r="1826">
      <c r="A1826" s="16">
        <f>IF($B1826="","",COUNTA($B$4:$B1826))</f>
        <v/>
      </c>
      <c r="B1826" s="71" t="n"/>
      <c r="C1826" s="38" t="n"/>
      <c r="D1826" s="45" t="n"/>
      <c r="E1826" s="45" t="n"/>
      <c r="F1826" s="45" t="n"/>
    </row>
    <row r="1827">
      <c r="A1827" s="16">
        <f>IF($B1827="","",COUNTA($B$4:$B1827))</f>
        <v/>
      </c>
      <c r="B1827" s="72" t="n"/>
      <c r="C1827" s="40" t="n"/>
      <c r="D1827" s="47" t="n"/>
      <c r="E1827" s="47" t="n"/>
      <c r="F1827" s="47" t="n"/>
    </row>
    <row r="1828">
      <c r="A1828" s="16">
        <f>IF($B1828="","",COUNTA($B$4:$B1828))</f>
        <v/>
      </c>
      <c r="B1828" s="71" t="n"/>
      <c r="C1828" s="38" t="n"/>
      <c r="D1828" s="45" t="n"/>
      <c r="E1828" s="45" t="n"/>
      <c r="F1828" s="45" t="n"/>
    </row>
    <row r="1829">
      <c r="A1829" s="16">
        <f>IF($B1829="","",COUNTA($B$4:$B1829))</f>
        <v/>
      </c>
      <c r="B1829" s="72" t="n"/>
      <c r="C1829" s="40" t="n"/>
      <c r="D1829" s="47" t="n"/>
      <c r="E1829" s="47" t="n"/>
      <c r="F1829" s="47" t="n"/>
    </row>
    <row r="1830">
      <c r="A1830" s="16">
        <f>IF($B1830="","",COUNTA($B$4:$B1830))</f>
        <v/>
      </c>
      <c r="B1830" s="71" t="n"/>
      <c r="C1830" s="38" t="n"/>
      <c r="D1830" s="45" t="n"/>
      <c r="E1830" s="45" t="n"/>
      <c r="F1830" s="45" t="n"/>
    </row>
    <row r="1831">
      <c r="A1831" s="16">
        <f>IF($B1831="","",COUNTA($B$4:$B1831))</f>
        <v/>
      </c>
      <c r="B1831" s="72" t="n"/>
      <c r="C1831" s="40" t="n"/>
      <c r="D1831" s="47" t="n"/>
      <c r="E1831" s="47" t="n"/>
      <c r="F1831" s="47" t="n"/>
    </row>
    <row r="1832">
      <c r="A1832" s="16">
        <f>IF($B1832="","",COUNTA($B$4:$B1832))</f>
        <v/>
      </c>
      <c r="B1832" s="71" t="n"/>
      <c r="C1832" s="38" t="n"/>
      <c r="D1832" s="45" t="n"/>
      <c r="E1832" s="45" t="n"/>
      <c r="F1832" s="45" t="n"/>
    </row>
    <row r="1833">
      <c r="A1833" s="16">
        <f>IF($B1833="","",COUNTA($B$4:$B1833))</f>
        <v/>
      </c>
      <c r="B1833" s="72" t="n"/>
      <c r="C1833" s="40" t="n"/>
      <c r="D1833" s="47" t="n"/>
      <c r="E1833" s="47" t="n"/>
      <c r="F1833" s="47" t="n"/>
    </row>
    <row r="1834">
      <c r="A1834" s="16">
        <f>IF($B1834="","",COUNTA($B$4:$B1834))</f>
        <v/>
      </c>
      <c r="B1834" s="71" t="n"/>
      <c r="C1834" s="38" t="n"/>
      <c r="D1834" s="45" t="n"/>
      <c r="E1834" s="45" t="n"/>
      <c r="F1834" s="45" t="n"/>
    </row>
    <row r="1835">
      <c r="A1835" s="16">
        <f>IF($B1835="","",COUNTA($B$4:$B1835))</f>
        <v/>
      </c>
      <c r="B1835" s="72" t="n"/>
      <c r="C1835" s="40" t="n"/>
      <c r="D1835" s="47" t="n"/>
      <c r="E1835" s="47" t="n"/>
      <c r="F1835" s="47" t="n"/>
    </row>
    <row r="1836">
      <c r="A1836" s="16">
        <f>IF($B1836="","",COUNTA($B$4:$B1836))</f>
        <v/>
      </c>
      <c r="B1836" s="71" t="n"/>
      <c r="C1836" s="38" t="n"/>
      <c r="D1836" s="45" t="n"/>
      <c r="E1836" s="45" t="n"/>
      <c r="F1836" s="45" t="n"/>
    </row>
    <row r="1837">
      <c r="A1837" s="16">
        <f>IF($B1837="","",COUNTA($B$4:$B1837))</f>
        <v/>
      </c>
      <c r="B1837" s="72" t="n"/>
      <c r="C1837" s="40" t="n"/>
      <c r="D1837" s="47" t="n"/>
      <c r="E1837" s="47" t="n"/>
      <c r="F1837" s="47" t="n"/>
    </row>
    <row r="1838">
      <c r="A1838" s="16">
        <f>IF($B1838="","",COUNTA($B$4:$B1838))</f>
        <v/>
      </c>
      <c r="B1838" s="71" t="n"/>
      <c r="C1838" s="38" t="n"/>
      <c r="D1838" s="45" t="n"/>
      <c r="E1838" s="45" t="n"/>
      <c r="F1838" s="45" t="n"/>
    </row>
    <row r="1839">
      <c r="A1839" s="16">
        <f>IF($B1839="","",COUNTA($B$4:$B1839))</f>
        <v/>
      </c>
      <c r="B1839" s="72" t="n"/>
      <c r="C1839" s="40" t="n"/>
      <c r="D1839" s="47" t="n"/>
      <c r="E1839" s="47" t="n"/>
      <c r="F1839" s="47" t="n"/>
    </row>
    <row r="1840">
      <c r="A1840" s="16">
        <f>IF($B1840="","",COUNTA($B$4:$B1840))</f>
        <v/>
      </c>
      <c r="B1840" s="71" t="n"/>
      <c r="C1840" s="38" t="n"/>
      <c r="D1840" s="45" t="n"/>
      <c r="E1840" s="45" t="n"/>
      <c r="F1840" s="45" t="n"/>
    </row>
    <row r="1841">
      <c r="A1841" s="16">
        <f>IF($B1841="","",COUNTA($B$4:$B1841))</f>
        <v/>
      </c>
      <c r="B1841" s="72" t="n"/>
      <c r="C1841" s="40" t="n"/>
      <c r="D1841" s="47" t="n"/>
      <c r="E1841" s="47" t="n"/>
      <c r="F1841" s="47" t="n"/>
    </row>
    <row r="1842">
      <c r="A1842" s="16">
        <f>IF($B1842="","",COUNTA($B$4:$B1842))</f>
        <v/>
      </c>
      <c r="B1842" s="71" t="n"/>
      <c r="C1842" s="38" t="n"/>
      <c r="D1842" s="45" t="n"/>
      <c r="E1842" s="45" t="n"/>
      <c r="F1842" s="45" t="n"/>
    </row>
    <row r="1843">
      <c r="A1843" s="16">
        <f>IF($B1843="","",COUNTA($B$4:$B1843))</f>
        <v/>
      </c>
      <c r="B1843" s="72" t="n"/>
      <c r="C1843" s="40" t="n"/>
      <c r="D1843" s="47" t="n"/>
      <c r="E1843" s="47" t="n"/>
      <c r="F1843" s="47" t="n"/>
    </row>
    <row r="1844">
      <c r="A1844" s="16">
        <f>IF($B1844="","",COUNTA($B$4:$B1844))</f>
        <v/>
      </c>
      <c r="B1844" s="71" t="n"/>
      <c r="C1844" s="38" t="n"/>
      <c r="D1844" s="45" t="n"/>
      <c r="E1844" s="45" t="n"/>
      <c r="F1844" s="45" t="n"/>
    </row>
    <row r="1845">
      <c r="A1845" s="16">
        <f>IF($B1845="","",COUNTA($B$4:$B1845))</f>
        <v/>
      </c>
      <c r="B1845" s="72" t="n"/>
      <c r="C1845" s="40" t="n"/>
      <c r="D1845" s="47" t="n"/>
      <c r="E1845" s="47" t="n"/>
      <c r="F1845" s="47" t="n"/>
    </row>
    <row r="1846">
      <c r="A1846" s="16">
        <f>IF($B1846="","",COUNTA($B$4:$B1846))</f>
        <v/>
      </c>
      <c r="B1846" s="71" t="n"/>
      <c r="C1846" s="38" t="n"/>
      <c r="D1846" s="45" t="n"/>
      <c r="E1846" s="45" t="n"/>
      <c r="F1846" s="45" t="n"/>
    </row>
    <row r="1847">
      <c r="A1847" s="16">
        <f>IF($B1847="","",COUNTA($B$4:$B1847))</f>
        <v/>
      </c>
      <c r="B1847" s="72" t="n"/>
      <c r="C1847" s="40" t="n"/>
      <c r="D1847" s="47" t="n"/>
      <c r="E1847" s="47" t="n"/>
      <c r="F1847" s="47" t="n"/>
    </row>
    <row r="1848">
      <c r="A1848" s="16">
        <f>IF($B1848="","",COUNTA($B$4:$B1848))</f>
        <v/>
      </c>
      <c r="B1848" s="71" t="n"/>
      <c r="C1848" s="38" t="n"/>
      <c r="D1848" s="45" t="n"/>
      <c r="E1848" s="45" t="n"/>
      <c r="F1848" s="45" t="n"/>
    </row>
    <row r="1849">
      <c r="A1849" s="16">
        <f>IF($B1849="","",COUNTA($B$4:$B1849))</f>
        <v/>
      </c>
      <c r="B1849" s="72" t="n"/>
      <c r="C1849" s="40" t="n"/>
      <c r="D1849" s="47" t="n"/>
      <c r="E1849" s="47" t="n"/>
      <c r="F1849" s="47" t="n"/>
    </row>
    <row r="1850">
      <c r="A1850" s="16">
        <f>IF($B1850="","",COUNTA($B$4:$B1850))</f>
        <v/>
      </c>
      <c r="B1850" s="71" t="n"/>
      <c r="C1850" s="38" t="n"/>
      <c r="D1850" s="45" t="n"/>
      <c r="E1850" s="45" t="n"/>
      <c r="F1850" s="45" t="n"/>
    </row>
    <row r="1851">
      <c r="A1851" s="16">
        <f>IF($B1851="","",COUNTA($B$4:$B1851))</f>
        <v/>
      </c>
      <c r="B1851" s="72" t="n"/>
      <c r="C1851" s="40" t="n"/>
      <c r="D1851" s="47" t="n"/>
      <c r="E1851" s="47" t="n"/>
      <c r="F1851" s="47" t="n"/>
    </row>
    <row r="1852">
      <c r="A1852" s="16">
        <f>IF($B1852="","",COUNTA($B$4:$B1852))</f>
        <v/>
      </c>
      <c r="B1852" s="71" t="n"/>
      <c r="C1852" s="38" t="n"/>
      <c r="D1852" s="45" t="n"/>
      <c r="E1852" s="45" t="n"/>
      <c r="F1852" s="45" t="n"/>
    </row>
    <row r="1853">
      <c r="A1853" s="16">
        <f>IF($B1853="","",COUNTA($B$4:$B1853))</f>
        <v/>
      </c>
      <c r="B1853" s="72" t="n"/>
      <c r="C1853" s="40" t="n"/>
      <c r="D1853" s="47" t="n"/>
      <c r="E1853" s="47" t="n"/>
      <c r="F1853" s="47" t="n"/>
    </row>
    <row r="1854">
      <c r="A1854" s="16">
        <f>IF($B1854="","",COUNTA($B$4:$B1854))</f>
        <v/>
      </c>
      <c r="B1854" s="71" t="n"/>
      <c r="C1854" s="38" t="n"/>
      <c r="D1854" s="45" t="n"/>
      <c r="E1854" s="45" t="n"/>
      <c r="F1854" s="45" t="n"/>
    </row>
    <row r="1855">
      <c r="A1855" s="16">
        <f>IF($B1855="","",COUNTA($B$4:$B1855))</f>
        <v/>
      </c>
      <c r="B1855" s="72" t="n"/>
      <c r="C1855" s="40" t="n"/>
      <c r="D1855" s="47" t="n"/>
      <c r="E1855" s="47" t="n"/>
      <c r="F1855" s="47" t="n"/>
    </row>
    <row r="1856">
      <c r="A1856" s="16">
        <f>IF($B1856="","",COUNTA($B$4:$B1856))</f>
        <v/>
      </c>
      <c r="B1856" s="71" t="n"/>
      <c r="C1856" s="38" t="n"/>
      <c r="D1856" s="45" t="n"/>
      <c r="E1856" s="45" t="n"/>
      <c r="F1856" s="45" t="n"/>
    </row>
    <row r="1857">
      <c r="A1857" s="16">
        <f>IF($B1857="","",COUNTA($B$4:$B1857))</f>
        <v/>
      </c>
      <c r="B1857" s="72" t="n"/>
      <c r="C1857" s="40" t="n"/>
      <c r="D1857" s="47" t="n"/>
      <c r="E1857" s="47" t="n"/>
      <c r="F1857" s="47" t="n"/>
    </row>
    <row r="1858">
      <c r="A1858" s="16">
        <f>IF($B1858="","",COUNTA($B$4:$B1858))</f>
        <v/>
      </c>
      <c r="B1858" s="71" t="n"/>
      <c r="C1858" s="38" t="n"/>
      <c r="D1858" s="45" t="n"/>
      <c r="E1858" s="45" t="n"/>
      <c r="F1858" s="45" t="n"/>
    </row>
    <row r="1859">
      <c r="A1859" s="16">
        <f>IF($B1859="","",COUNTA($B$4:$B1859))</f>
        <v/>
      </c>
      <c r="B1859" s="72" t="n"/>
      <c r="C1859" s="40" t="n"/>
      <c r="D1859" s="47" t="n"/>
      <c r="E1859" s="47" t="n"/>
      <c r="F1859" s="47" t="n"/>
    </row>
    <row r="1860">
      <c r="A1860" s="16">
        <f>IF($B1860="","",COUNTA($B$4:$B1860))</f>
        <v/>
      </c>
      <c r="B1860" s="71" t="n"/>
      <c r="C1860" s="38" t="n"/>
      <c r="D1860" s="45" t="n"/>
      <c r="E1860" s="45" t="n"/>
      <c r="F1860" s="45" t="n"/>
    </row>
    <row r="1861">
      <c r="A1861" s="16">
        <f>IF($B1861="","",COUNTA($B$4:$B1861))</f>
        <v/>
      </c>
      <c r="B1861" s="72" t="n"/>
      <c r="C1861" s="40" t="n"/>
      <c r="D1861" s="47" t="n"/>
      <c r="E1861" s="47" t="n"/>
      <c r="F1861" s="47" t="n"/>
    </row>
    <row r="1862">
      <c r="A1862" s="16">
        <f>IF($B1862="","",COUNTA($B$4:$B1862))</f>
        <v/>
      </c>
      <c r="B1862" s="71" t="n"/>
      <c r="C1862" s="38" t="n"/>
      <c r="D1862" s="45" t="n"/>
      <c r="E1862" s="45" t="n"/>
      <c r="F1862" s="45" t="n"/>
    </row>
    <row r="1863">
      <c r="A1863" s="16">
        <f>IF($B1863="","",COUNTA($B$4:$B1863))</f>
        <v/>
      </c>
      <c r="B1863" s="72" t="n"/>
      <c r="C1863" s="40" t="n"/>
      <c r="D1863" s="47" t="n"/>
      <c r="E1863" s="47" t="n"/>
      <c r="F1863" s="47" t="n"/>
    </row>
    <row r="1864">
      <c r="A1864" s="16">
        <f>IF($B1864="","",COUNTA($B$4:$B1864))</f>
        <v/>
      </c>
      <c r="B1864" s="71" t="n"/>
      <c r="C1864" s="38" t="n"/>
      <c r="D1864" s="45" t="n"/>
      <c r="E1864" s="45" t="n"/>
      <c r="F1864" s="45" t="n"/>
    </row>
    <row r="1865">
      <c r="A1865" s="16">
        <f>IF($B1865="","",COUNTA($B$4:$B1865))</f>
        <v/>
      </c>
      <c r="B1865" s="72" t="n"/>
      <c r="C1865" s="40" t="n"/>
      <c r="D1865" s="47" t="n"/>
      <c r="E1865" s="47" t="n"/>
      <c r="F1865" s="47" t="n"/>
    </row>
    <row r="1866">
      <c r="A1866" s="16">
        <f>IF($B1866="","",COUNTA($B$4:$B1866))</f>
        <v/>
      </c>
      <c r="B1866" s="71" t="n"/>
      <c r="C1866" s="38" t="n"/>
      <c r="D1866" s="45" t="n"/>
      <c r="E1866" s="45" t="n"/>
      <c r="F1866" s="45" t="n"/>
    </row>
    <row r="1867">
      <c r="A1867" s="16">
        <f>IF($B1867="","",COUNTA($B$4:$B1867))</f>
        <v/>
      </c>
      <c r="B1867" s="72" t="n"/>
      <c r="C1867" s="40" t="n"/>
      <c r="D1867" s="47" t="n"/>
      <c r="E1867" s="47" t="n"/>
      <c r="F1867" s="47" t="n"/>
    </row>
    <row r="1868">
      <c r="A1868" s="16">
        <f>IF($B1868="","",COUNTA($B$4:$B1868))</f>
        <v/>
      </c>
      <c r="B1868" s="71" t="n"/>
      <c r="C1868" s="38" t="n"/>
      <c r="D1868" s="45" t="n"/>
      <c r="E1868" s="45" t="n"/>
      <c r="F1868" s="45" t="n"/>
    </row>
    <row r="1869">
      <c r="A1869" s="16">
        <f>IF($B1869="","",COUNTA($B$4:$B1869))</f>
        <v/>
      </c>
      <c r="B1869" s="72" t="n"/>
      <c r="C1869" s="40" t="n"/>
      <c r="D1869" s="47" t="n"/>
      <c r="E1869" s="47" t="n"/>
      <c r="F1869" s="47" t="n"/>
    </row>
    <row r="1870">
      <c r="A1870" s="16">
        <f>IF($B1870="","",COUNTA($B$4:$B1870))</f>
        <v/>
      </c>
      <c r="B1870" s="71" t="n"/>
      <c r="C1870" s="38" t="n"/>
      <c r="D1870" s="45" t="n"/>
      <c r="E1870" s="45" t="n"/>
      <c r="F1870" s="45" t="n"/>
    </row>
    <row r="1871">
      <c r="A1871" s="16">
        <f>IF($B1871="","",COUNTA($B$4:$B1871))</f>
        <v/>
      </c>
      <c r="B1871" s="72" t="n"/>
      <c r="C1871" s="40" t="n"/>
      <c r="D1871" s="47" t="n"/>
      <c r="E1871" s="47" t="n"/>
      <c r="F1871" s="47" t="n"/>
    </row>
    <row r="1872">
      <c r="A1872" s="16">
        <f>IF($B1872="","",COUNTA($B$4:$B1872))</f>
        <v/>
      </c>
      <c r="B1872" s="71" t="n"/>
      <c r="C1872" s="38" t="n"/>
      <c r="D1872" s="45" t="n"/>
      <c r="E1872" s="45" t="n"/>
      <c r="F1872" s="45" t="n"/>
    </row>
    <row r="1873">
      <c r="A1873" s="16">
        <f>IF($B1873="","",COUNTA($B$4:$B1873))</f>
        <v/>
      </c>
      <c r="B1873" s="72" t="n"/>
      <c r="C1873" s="40" t="n"/>
      <c r="D1873" s="47" t="n"/>
      <c r="E1873" s="47" t="n"/>
      <c r="F1873" s="47" t="n"/>
    </row>
    <row r="1874">
      <c r="A1874" s="16">
        <f>IF($B1874="","",COUNTA($B$4:$B1874))</f>
        <v/>
      </c>
      <c r="B1874" s="71" t="n"/>
      <c r="C1874" s="38" t="n"/>
      <c r="D1874" s="45" t="n"/>
      <c r="E1874" s="45" t="n"/>
      <c r="F1874" s="45" t="n"/>
    </row>
    <row r="1875">
      <c r="A1875" s="16">
        <f>IF($B1875="","",COUNTA($B$4:$B1875))</f>
        <v/>
      </c>
      <c r="B1875" s="72" t="n"/>
      <c r="C1875" s="40" t="n"/>
      <c r="D1875" s="47" t="n"/>
      <c r="E1875" s="47" t="n"/>
      <c r="F1875" s="47" t="n"/>
    </row>
    <row r="1876">
      <c r="A1876" s="16">
        <f>IF($B1876="","",COUNTA($B$4:$B1876))</f>
        <v/>
      </c>
      <c r="B1876" s="71" t="n"/>
      <c r="C1876" s="38" t="n"/>
      <c r="D1876" s="45" t="n"/>
      <c r="E1876" s="45" t="n"/>
      <c r="F1876" s="45" t="n"/>
    </row>
    <row r="1877">
      <c r="A1877" s="16">
        <f>IF($B1877="","",COUNTA($B$4:$B1877))</f>
        <v/>
      </c>
      <c r="B1877" s="72" t="n"/>
      <c r="C1877" s="40" t="n"/>
      <c r="D1877" s="47" t="n"/>
      <c r="E1877" s="47" t="n"/>
      <c r="F1877" s="47" t="n"/>
    </row>
    <row r="1878">
      <c r="A1878" s="16">
        <f>IF($B1878="","",COUNTA($B$4:$B1878))</f>
        <v/>
      </c>
      <c r="B1878" s="71" t="n"/>
      <c r="C1878" s="38" t="n"/>
      <c r="D1878" s="45" t="n"/>
      <c r="E1878" s="45" t="n"/>
      <c r="F1878" s="45" t="n"/>
    </row>
    <row r="1879">
      <c r="A1879" s="16">
        <f>IF($B1879="","",COUNTA($B$4:$B1879))</f>
        <v/>
      </c>
      <c r="B1879" s="72" t="n"/>
      <c r="C1879" s="40" t="n"/>
      <c r="D1879" s="47" t="n"/>
      <c r="E1879" s="47" t="n"/>
      <c r="F1879" s="47" t="n"/>
    </row>
    <row r="1880">
      <c r="A1880" s="16">
        <f>IF($B1880="","",COUNTA($B$4:$B1880))</f>
        <v/>
      </c>
      <c r="B1880" s="71" t="n"/>
      <c r="C1880" s="38" t="n"/>
      <c r="D1880" s="45" t="n"/>
      <c r="E1880" s="45" t="n"/>
      <c r="F1880" s="45" t="n"/>
    </row>
    <row r="1881">
      <c r="A1881" s="16">
        <f>IF($B1881="","",COUNTA($B$4:$B1881))</f>
        <v/>
      </c>
      <c r="B1881" s="72" t="n"/>
      <c r="C1881" s="40" t="n"/>
      <c r="D1881" s="47" t="n"/>
      <c r="E1881" s="47" t="n"/>
      <c r="F1881" s="47" t="n"/>
    </row>
    <row r="1882">
      <c r="A1882" s="16">
        <f>IF($B1882="","",COUNTA($B$4:$B1882))</f>
        <v/>
      </c>
      <c r="B1882" s="71" t="n"/>
      <c r="C1882" s="38" t="n"/>
      <c r="D1882" s="45" t="n"/>
      <c r="E1882" s="45" t="n"/>
      <c r="F1882" s="45" t="n"/>
    </row>
    <row r="1883">
      <c r="A1883" s="16">
        <f>IF($B1883="","",COUNTA($B$4:$B1883))</f>
        <v/>
      </c>
      <c r="B1883" s="72" t="n"/>
      <c r="C1883" s="40" t="n"/>
      <c r="D1883" s="47" t="n"/>
      <c r="E1883" s="47" t="n"/>
      <c r="F1883" s="47" t="n"/>
    </row>
    <row r="1884">
      <c r="A1884" s="16">
        <f>IF($B1884="","",COUNTA($B$4:$B1884))</f>
        <v/>
      </c>
      <c r="B1884" s="71" t="n"/>
      <c r="C1884" s="38" t="n"/>
      <c r="D1884" s="45" t="n"/>
      <c r="E1884" s="45" t="n"/>
      <c r="F1884" s="45" t="n"/>
    </row>
    <row r="1885">
      <c r="A1885" s="16">
        <f>IF($B1885="","",COUNTA($B$4:$B1885))</f>
        <v/>
      </c>
      <c r="B1885" s="72" t="n"/>
      <c r="C1885" s="40" t="n"/>
      <c r="D1885" s="47" t="n"/>
      <c r="E1885" s="47" t="n"/>
      <c r="F1885" s="47" t="n"/>
    </row>
    <row r="1886">
      <c r="A1886" s="16">
        <f>IF($B1886="","",COUNTA($B$4:$B1886))</f>
        <v/>
      </c>
      <c r="B1886" s="71" t="n"/>
      <c r="C1886" s="38" t="n"/>
      <c r="D1886" s="45" t="n"/>
      <c r="E1886" s="45" t="n"/>
      <c r="F1886" s="45" t="n"/>
    </row>
    <row r="1887">
      <c r="A1887" s="16">
        <f>IF($B1887="","",COUNTA($B$4:$B1887))</f>
        <v/>
      </c>
      <c r="B1887" s="72" t="n"/>
      <c r="C1887" s="40" t="n"/>
      <c r="D1887" s="47" t="n"/>
      <c r="E1887" s="47" t="n"/>
      <c r="F1887" s="47" t="n"/>
    </row>
    <row r="1888">
      <c r="A1888" s="16">
        <f>IF($B1888="","",COUNTA($B$4:$B1888))</f>
        <v/>
      </c>
      <c r="B1888" s="71" t="n"/>
      <c r="C1888" s="38" t="n"/>
      <c r="D1888" s="45" t="n"/>
      <c r="E1888" s="45" t="n"/>
      <c r="F1888" s="45" t="n"/>
    </row>
    <row r="1889">
      <c r="A1889" s="16">
        <f>IF($B1889="","",COUNTA($B$4:$B1889))</f>
        <v/>
      </c>
      <c r="B1889" s="72" t="n"/>
      <c r="C1889" s="40" t="n"/>
      <c r="D1889" s="47" t="n"/>
      <c r="E1889" s="47" t="n"/>
      <c r="F1889" s="47" t="n"/>
    </row>
    <row r="1890">
      <c r="A1890" s="16">
        <f>IF($B1890="","",COUNTA($B$4:$B1890))</f>
        <v/>
      </c>
      <c r="B1890" s="71" t="n"/>
      <c r="C1890" s="38" t="n"/>
      <c r="D1890" s="45" t="n"/>
      <c r="E1890" s="45" t="n"/>
      <c r="F1890" s="45" t="n"/>
    </row>
    <row r="1891">
      <c r="A1891" s="16">
        <f>IF($B1891="","",COUNTA($B$4:$B1891))</f>
        <v/>
      </c>
      <c r="B1891" s="72" t="n"/>
      <c r="C1891" s="40" t="n"/>
      <c r="D1891" s="47" t="n"/>
      <c r="E1891" s="47" t="n"/>
      <c r="F1891" s="47" t="n"/>
    </row>
    <row r="1892">
      <c r="A1892" s="16">
        <f>IF($B1892="","",COUNTA($B$4:$B1892))</f>
        <v/>
      </c>
      <c r="B1892" s="71" t="n"/>
      <c r="C1892" s="38" t="n"/>
      <c r="D1892" s="45" t="n"/>
      <c r="E1892" s="45" t="n"/>
      <c r="F1892" s="45" t="n"/>
    </row>
    <row r="1893">
      <c r="A1893" s="16">
        <f>IF($B1893="","",COUNTA($B$4:$B1893))</f>
        <v/>
      </c>
      <c r="B1893" s="72" t="n"/>
      <c r="C1893" s="40" t="n"/>
      <c r="D1893" s="47" t="n"/>
      <c r="E1893" s="47" t="n"/>
      <c r="F1893" s="47" t="n"/>
    </row>
    <row r="1894">
      <c r="A1894" s="16">
        <f>IF($B1894="","",COUNTA($B$4:$B1894))</f>
        <v/>
      </c>
      <c r="B1894" s="71" t="n"/>
      <c r="C1894" s="38" t="n"/>
      <c r="D1894" s="45" t="n"/>
      <c r="E1894" s="45" t="n"/>
      <c r="F1894" s="45" t="n"/>
    </row>
    <row r="1895">
      <c r="A1895" s="16">
        <f>IF($B1895="","",COUNTA($B$4:$B1895))</f>
        <v/>
      </c>
      <c r="B1895" s="72" t="n"/>
      <c r="C1895" s="40" t="n"/>
      <c r="D1895" s="47" t="n"/>
      <c r="E1895" s="47" t="n"/>
      <c r="F1895" s="47" t="n"/>
    </row>
    <row r="1896">
      <c r="A1896" s="16">
        <f>IF($B1896="","",COUNTA($B$4:$B1896))</f>
        <v/>
      </c>
      <c r="B1896" s="71" t="n"/>
      <c r="C1896" s="38" t="n"/>
      <c r="D1896" s="45" t="n"/>
      <c r="E1896" s="45" t="n"/>
      <c r="F1896" s="45" t="n"/>
    </row>
    <row r="1897">
      <c r="A1897" s="16">
        <f>IF($B1897="","",COUNTA($B$4:$B1897))</f>
        <v/>
      </c>
      <c r="B1897" s="72" t="n"/>
      <c r="C1897" s="40" t="n"/>
      <c r="D1897" s="47" t="n"/>
      <c r="E1897" s="47" t="n"/>
      <c r="F1897" s="47" t="n"/>
    </row>
    <row r="1898">
      <c r="A1898" s="16">
        <f>IF($B1898="","",COUNTA($B$4:$B1898))</f>
        <v/>
      </c>
      <c r="B1898" s="71" t="n"/>
      <c r="C1898" s="38" t="n"/>
      <c r="D1898" s="45" t="n"/>
      <c r="E1898" s="45" t="n"/>
      <c r="F1898" s="45" t="n"/>
    </row>
    <row r="1899">
      <c r="A1899" s="16">
        <f>IF($B1899="","",COUNTA($B$4:$B1899))</f>
        <v/>
      </c>
      <c r="B1899" s="72" t="n"/>
      <c r="C1899" s="40" t="n"/>
      <c r="D1899" s="47" t="n"/>
      <c r="E1899" s="47" t="n"/>
      <c r="F1899" s="47" t="n"/>
    </row>
    <row r="1900">
      <c r="A1900" s="16">
        <f>IF($B1900="","",COUNTA($B$4:$B1900))</f>
        <v/>
      </c>
      <c r="B1900" s="71" t="n"/>
      <c r="C1900" s="38" t="n"/>
      <c r="D1900" s="45" t="n"/>
      <c r="E1900" s="45" t="n"/>
      <c r="F1900" s="45" t="n"/>
    </row>
    <row r="1901">
      <c r="A1901" s="16">
        <f>IF($B1901="","",COUNTA($B$4:$B1901))</f>
        <v/>
      </c>
      <c r="B1901" s="72" t="n"/>
      <c r="C1901" s="40" t="n"/>
      <c r="D1901" s="47" t="n"/>
      <c r="E1901" s="47" t="n"/>
      <c r="F1901" s="47" t="n"/>
    </row>
    <row r="1902">
      <c r="A1902" s="16">
        <f>IF($B1902="","",COUNTA($B$4:$B1902))</f>
        <v/>
      </c>
      <c r="B1902" s="71" t="n"/>
      <c r="C1902" s="38" t="n"/>
      <c r="D1902" s="45" t="n"/>
      <c r="E1902" s="45" t="n"/>
      <c r="F1902" s="45" t="n"/>
    </row>
    <row r="1903">
      <c r="A1903" s="16">
        <f>IF($B1903="","",COUNTA($B$4:$B1903))</f>
        <v/>
      </c>
      <c r="B1903" s="72" t="n"/>
      <c r="C1903" s="40" t="n"/>
      <c r="D1903" s="47" t="n"/>
      <c r="E1903" s="47" t="n"/>
      <c r="F1903" s="47" t="n"/>
    </row>
    <row r="1904">
      <c r="A1904" s="16">
        <f>IF($B1904="","",COUNTA($B$4:$B1904))</f>
        <v/>
      </c>
      <c r="B1904" s="71" t="n"/>
      <c r="C1904" s="38" t="n"/>
      <c r="D1904" s="45" t="n"/>
      <c r="E1904" s="45" t="n"/>
      <c r="F1904" s="45" t="n"/>
    </row>
    <row r="1905">
      <c r="A1905" s="16">
        <f>IF($B1905="","",COUNTA($B$4:$B1905))</f>
        <v/>
      </c>
      <c r="B1905" s="72" t="n"/>
      <c r="C1905" s="40" t="n"/>
      <c r="D1905" s="47" t="n"/>
      <c r="E1905" s="47" t="n"/>
      <c r="F1905" s="47" t="n"/>
    </row>
    <row r="1906">
      <c r="A1906" s="16">
        <f>IF($B1906="","",COUNTA($B$4:$B1906))</f>
        <v/>
      </c>
      <c r="B1906" s="71" t="n"/>
      <c r="C1906" s="38" t="n"/>
      <c r="D1906" s="45" t="n"/>
      <c r="E1906" s="45" t="n"/>
      <c r="F1906" s="45" t="n"/>
    </row>
    <row r="1907">
      <c r="A1907" s="16">
        <f>IF($B1907="","",COUNTA($B$4:$B1907))</f>
        <v/>
      </c>
      <c r="B1907" s="72" t="n"/>
      <c r="C1907" s="40" t="n"/>
      <c r="D1907" s="47" t="n"/>
      <c r="E1907" s="47" t="n"/>
      <c r="F1907" s="47" t="n"/>
    </row>
    <row r="1908">
      <c r="A1908" s="16">
        <f>IF($B1908="","",COUNTA($B$4:$B1908))</f>
        <v/>
      </c>
      <c r="B1908" s="71" t="n"/>
      <c r="C1908" s="38" t="n"/>
      <c r="D1908" s="45" t="n"/>
      <c r="E1908" s="45" t="n"/>
      <c r="F1908" s="45" t="n"/>
    </row>
    <row r="1909">
      <c r="A1909" s="16">
        <f>IF($B1909="","",COUNTA($B$4:$B1909))</f>
        <v/>
      </c>
      <c r="B1909" s="72" t="n"/>
      <c r="C1909" s="40" t="n"/>
      <c r="D1909" s="47" t="n"/>
      <c r="E1909" s="47" t="n"/>
      <c r="F1909" s="47" t="n"/>
    </row>
    <row r="1910">
      <c r="A1910" s="16">
        <f>IF($B1910="","",COUNTA($B$4:$B1910))</f>
        <v/>
      </c>
      <c r="B1910" s="71" t="n"/>
      <c r="C1910" s="38" t="n"/>
      <c r="D1910" s="45" t="n"/>
      <c r="E1910" s="45" t="n"/>
      <c r="F1910" s="45" t="n"/>
    </row>
    <row r="1911">
      <c r="A1911" s="16">
        <f>IF($B1911="","",COUNTA($B$4:$B1911))</f>
        <v/>
      </c>
      <c r="B1911" s="72" t="n"/>
      <c r="C1911" s="40" t="n"/>
      <c r="D1911" s="47" t="n"/>
      <c r="E1911" s="47" t="n"/>
      <c r="F1911" s="47" t="n"/>
    </row>
    <row r="1912">
      <c r="A1912" s="16">
        <f>IF($B1912="","",COUNTA($B$4:$B1912))</f>
        <v/>
      </c>
      <c r="B1912" s="71" t="n"/>
      <c r="C1912" s="38" t="n"/>
      <c r="D1912" s="45" t="n"/>
      <c r="E1912" s="45" t="n"/>
      <c r="F1912" s="45" t="n"/>
    </row>
    <row r="1913">
      <c r="A1913" s="16">
        <f>IF($B1913="","",COUNTA($B$4:$B1913))</f>
        <v/>
      </c>
      <c r="B1913" s="72" t="n"/>
      <c r="C1913" s="40" t="n"/>
      <c r="D1913" s="47" t="n"/>
      <c r="E1913" s="47" t="n"/>
      <c r="F1913" s="47" t="n"/>
    </row>
    <row r="1914">
      <c r="A1914" s="16">
        <f>IF($B1914="","",COUNTA($B$4:$B1914))</f>
        <v/>
      </c>
      <c r="B1914" s="71" t="n"/>
      <c r="C1914" s="38" t="n"/>
      <c r="D1914" s="45" t="n"/>
      <c r="E1914" s="45" t="n"/>
      <c r="F1914" s="45" t="n"/>
    </row>
    <row r="1915">
      <c r="A1915" s="16">
        <f>IF($B1915="","",COUNTA($B$4:$B1915))</f>
        <v/>
      </c>
      <c r="B1915" s="72" t="n"/>
      <c r="C1915" s="40" t="n"/>
      <c r="D1915" s="47" t="n"/>
      <c r="E1915" s="47" t="n"/>
      <c r="F1915" s="47" t="n"/>
    </row>
    <row r="1916">
      <c r="A1916" s="16">
        <f>IF($B1916="","",COUNTA($B$4:$B1916))</f>
        <v/>
      </c>
      <c r="B1916" s="71" t="n"/>
      <c r="C1916" s="38" t="n"/>
      <c r="D1916" s="45" t="n"/>
      <c r="E1916" s="45" t="n"/>
      <c r="F1916" s="45" t="n"/>
    </row>
    <row r="1917">
      <c r="A1917" s="16">
        <f>IF($B1917="","",COUNTA($B$4:$B1917))</f>
        <v/>
      </c>
      <c r="B1917" s="72" t="n"/>
      <c r="C1917" s="40" t="n"/>
      <c r="D1917" s="47" t="n"/>
      <c r="E1917" s="47" t="n"/>
      <c r="F1917" s="47" t="n"/>
    </row>
    <row r="1918">
      <c r="A1918" s="16">
        <f>IF($B1918="","",COUNTA($B$4:$B1918))</f>
        <v/>
      </c>
      <c r="B1918" s="71" t="n"/>
      <c r="C1918" s="38" t="n"/>
      <c r="D1918" s="45" t="n"/>
      <c r="E1918" s="45" t="n"/>
      <c r="F1918" s="45" t="n"/>
    </row>
    <row r="1919">
      <c r="A1919" s="16">
        <f>IF($B1919="","",COUNTA($B$4:$B1919))</f>
        <v/>
      </c>
      <c r="B1919" s="72" t="n"/>
      <c r="C1919" s="40" t="n"/>
      <c r="D1919" s="47" t="n"/>
      <c r="E1919" s="47" t="n"/>
      <c r="F1919" s="47" t="n"/>
    </row>
    <row r="1920">
      <c r="A1920" s="16">
        <f>IF($B1920="","",COUNTA($B$4:$B1920))</f>
        <v/>
      </c>
      <c r="B1920" s="71" t="n"/>
      <c r="C1920" s="38" t="n"/>
      <c r="D1920" s="45" t="n"/>
      <c r="E1920" s="45" t="n"/>
      <c r="F1920" s="45" t="n"/>
    </row>
    <row r="1921">
      <c r="A1921" s="16">
        <f>IF($B1921="","",COUNTA($B$4:$B1921))</f>
        <v/>
      </c>
      <c r="B1921" s="72" t="n"/>
      <c r="C1921" s="40" t="n"/>
      <c r="D1921" s="47" t="n"/>
      <c r="E1921" s="47" t="n"/>
      <c r="F1921" s="47" t="n"/>
    </row>
    <row r="1922">
      <c r="A1922" s="16">
        <f>IF($B1922="","",COUNTA($B$4:$B1922))</f>
        <v/>
      </c>
      <c r="B1922" s="71" t="n"/>
      <c r="C1922" s="38" t="n"/>
      <c r="D1922" s="45" t="n"/>
      <c r="E1922" s="45" t="n"/>
      <c r="F1922" s="45" t="n"/>
    </row>
    <row r="1923">
      <c r="A1923" s="16">
        <f>IF($B1923="","",COUNTA($B$4:$B1923))</f>
        <v/>
      </c>
      <c r="B1923" s="72" t="n"/>
      <c r="C1923" s="40" t="n"/>
      <c r="D1923" s="47" t="n"/>
      <c r="E1923" s="47" t="n"/>
      <c r="F1923" s="47" t="n"/>
    </row>
    <row r="1924">
      <c r="A1924" s="16">
        <f>IF($B1924="","",COUNTA($B$4:$B1924))</f>
        <v/>
      </c>
      <c r="B1924" s="71" t="n"/>
      <c r="C1924" s="38" t="n"/>
      <c r="D1924" s="45" t="n"/>
      <c r="E1924" s="45" t="n"/>
      <c r="F1924" s="45" t="n"/>
    </row>
    <row r="1925">
      <c r="A1925" s="16">
        <f>IF($B1925="","",COUNTA($B$4:$B1925))</f>
        <v/>
      </c>
      <c r="B1925" s="72" t="n"/>
      <c r="C1925" s="40" t="n"/>
      <c r="D1925" s="47" t="n"/>
      <c r="E1925" s="47" t="n"/>
      <c r="F1925" s="47" t="n"/>
    </row>
    <row r="1926">
      <c r="A1926" s="16">
        <f>IF($B1926="","",COUNTA($B$4:$B1926))</f>
        <v/>
      </c>
      <c r="B1926" s="71" t="n"/>
      <c r="C1926" s="38" t="n"/>
      <c r="D1926" s="45" t="n"/>
      <c r="E1926" s="45" t="n"/>
      <c r="F1926" s="45" t="n"/>
    </row>
    <row r="1927">
      <c r="A1927" s="16">
        <f>IF($B1927="","",COUNTA($B$4:$B1927))</f>
        <v/>
      </c>
      <c r="B1927" s="72" t="n"/>
      <c r="C1927" s="40" t="n"/>
      <c r="D1927" s="47" t="n"/>
      <c r="E1927" s="47" t="n"/>
      <c r="F1927" s="47" t="n"/>
    </row>
    <row r="1928">
      <c r="A1928" s="16">
        <f>IF($B1928="","",COUNTA($B$4:$B1928))</f>
        <v/>
      </c>
      <c r="B1928" s="71" t="n"/>
      <c r="C1928" s="38" t="n"/>
      <c r="D1928" s="45" t="n"/>
      <c r="E1928" s="45" t="n"/>
      <c r="F1928" s="45" t="n"/>
    </row>
    <row r="1929">
      <c r="A1929" s="16">
        <f>IF($B1929="","",COUNTA($B$4:$B1929))</f>
        <v/>
      </c>
      <c r="B1929" s="72" t="n"/>
      <c r="C1929" s="40" t="n"/>
      <c r="D1929" s="47" t="n"/>
      <c r="E1929" s="47" t="n"/>
      <c r="F1929" s="47" t="n"/>
    </row>
    <row r="1930">
      <c r="A1930" s="16">
        <f>IF($B1930="","",COUNTA($B$4:$B1930))</f>
        <v/>
      </c>
      <c r="B1930" s="71" t="n"/>
      <c r="C1930" s="38" t="n"/>
      <c r="D1930" s="45" t="n"/>
      <c r="E1930" s="45" t="n"/>
      <c r="F1930" s="45" t="n"/>
    </row>
    <row r="1931">
      <c r="A1931" s="16">
        <f>IF($B1931="","",COUNTA($B$4:$B1931))</f>
        <v/>
      </c>
      <c r="B1931" s="72" t="n"/>
      <c r="C1931" s="40" t="n"/>
      <c r="D1931" s="47" t="n"/>
      <c r="E1931" s="47" t="n"/>
      <c r="F1931" s="47" t="n"/>
    </row>
    <row r="1932">
      <c r="A1932" s="16">
        <f>IF($B1932="","",COUNTA($B$4:$B1932))</f>
        <v/>
      </c>
      <c r="B1932" s="71" t="n"/>
      <c r="C1932" s="38" t="n"/>
      <c r="D1932" s="45" t="n"/>
      <c r="E1932" s="45" t="n"/>
      <c r="F1932" s="45" t="n"/>
    </row>
    <row r="1933">
      <c r="A1933" s="16">
        <f>IF($B1933="","",COUNTA($B$4:$B1933))</f>
        <v/>
      </c>
      <c r="B1933" s="72" t="n"/>
      <c r="C1933" s="40" t="n"/>
      <c r="D1933" s="47" t="n"/>
      <c r="E1933" s="47" t="n"/>
      <c r="F1933" s="47" t="n"/>
    </row>
    <row r="1934">
      <c r="A1934" s="16">
        <f>IF($B1934="","",COUNTA($B$4:$B1934))</f>
        <v/>
      </c>
      <c r="B1934" s="71" t="n"/>
      <c r="C1934" s="38" t="n"/>
      <c r="D1934" s="45" t="n"/>
      <c r="E1934" s="45" t="n"/>
      <c r="F1934" s="45" t="n"/>
    </row>
    <row r="1935">
      <c r="A1935" s="16">
        <f>IF($B1935="","",COUNTA($B$4:$B1935))</f>
        <v/>
      </c>
      <c r="B1935" s="72" t="n"/>
      <c r="C1935" s="40" t="n"/>
      <c r="D1935" s="47" t="n"/>
      <c r="E1935" s="47" t="n"/>
      <c r="F1935" s="47" t="n"/>
    </row>
    <row r="1936">
      <c r="A1936" s="16">
        <f>IF($B1936="","",COUNTA($B$4:$B1936))</f>
        <v/>
      </c>
      <c r="B1936" s="71" t="n"/>
      <c r="C1936" s="38" t="n"/>
      <c r="D1936" s="45" t="n"/>
      <c r="E1936" s="45" t="n"/>
      <c r="F1936" s="45" t="n"/>
    </row>
    <row r="1937">
      <c r="A1937" s="16">
        <f>IF($B1937="","",COUNTA($B$4:$B1937))</f>
        <v/>
      </c>
      <c r="B1937" s="72" t="n"/>
      <c r="C1937" s="40" t="n"/>
      <c r="D1937" s="47" t="n"/>
      <c r="E1937" s="47" t="n"/>
      <c r="F1937" s="47" t="n"/>
    </row>
    <row r="1938">
      <c r="A1938" s="16">
        <f>IF($B1938="","",COUNTA($B$4:$B1938))</f>
        <v/>
      </c>
      <c r="B1938" s="71" t="n"/>
      <c r="C1938" s="38" t="n"/>
      <c r="D1938" s="45" t="n"/>
      <c r="E1938" s="45" t="n"/>
      <c r="F1938" s="45" t="n"/>
    </row>
    <row r="1939">
      <c r="A1939" s="16">
        <f>IF($B1939="","",COUNTA($B$4:$B1939))</f>
        <v/>
      </c>
      <c r="B1939" s="72" t="n"/>
      <c r="C1939" s="40" t="n"/>
      <c r="D1939" s="47" t="n"/>
      <c r="E1939" s="47" t="n"/>
      <c r="F1939" s="47" t="n"/>
    </row>
    <row r="1940">
      <c r="A1940" s="16">
        <f>IF($B1940="","",COUNTA($B$4:$B1940))</f>
        <v/>
      </c>
      <c r="B1940" s="71" t="n"/>
      <c r="C1940" s="38" t="n"/>
      <c r="D1940" s="45" t="n"/>
      <c r="E1940" s="45" t="n"/>
      <c r="F1940" s="45" t="n"/>
    </row>
    <row r="1941">
      <c r="A1941" s="16">
        <f>IF($B1941="","",COUNTA($B$4:$B1941))</f>
        <v/>
      </c>
      <c r="B1941" s="72" t="n"/>
      <c r="C1941" s="40" t="n"/>
      <c r="D1941" s="47" t="n"/>
      <c r="E1941" s="47" t="n"/>
      <c r="F1941" s="47" t="n"/>
    </row>
    <row r="1942">
      <c r="A1942" s="16">
        <f>IF($B1942="","",COUNTA($B$4:$B1942))</f>
        <v/>
      </c>
      <c r="B1942" s="71" t="n"/>
      <c r="C1942" s="38" t="n"/>
      <c r="D1942" s="45" t="n"/>
      <c r="E1942" s="45" t="n"/>
      <c r="F1942" s="45" t="n"/>
    </row>
    <row r="1943">
      <c r="A1943" s="16">
        <f>IF($B1943="","",COUNTA($B$4:$B1943))</f>
        <v/>
      </c>
      <c r="B1943" s="72" t="n"/>
      <c r="C1943" s="40" t="n"/>
      <c r="D1943" s="47" t="n"/>
      <c r="E1943" s="47" t="n"/>
      <c r="F1943" s="47" t="n"/>
    </row>
    <row r="1944">
      <c r="A1944" s="16">
        <f>IF($B1944="","",COUNTA($B$4:$B1944))</f>
        <v/>
      </c>
      <c r="B1944" s="71" t="n"/>
      <c r="C1944" s="38" t="n"/>
      <c r="D1944" s="45" t="n"/>
      <c r="E1944" s="45" t="n"/>
      <c r="F1944" s="45" t="n"/>
    </row>
    <row r="1945">
      <c r="A1945" s="16">
        <f>IF($B1945="","",COUNTA($B$4:$B1945))</f>
        <v/>
      </c>
      <c r="B1945" s="72" t="n"/>
      <c r="C1945" s="40" t="n"/>
      <c r="D1945" s="47" t="n"/>
      <c r="E1945" s="47" t="n"/>
      <c r="F1945" s="47" t="n"/>
    </row>
    <row r="1946">
      <c r="A1946" s="16">
        <f>IF($B1946="","",COUNTA($B$4:$B1946))</f>
        <v/>
      </c>
      <c r="B1946" s="71" t="n"/>
      <c r="C1946" s="38" t="n"/>
      <c r="D1946" s="45" t="n"/>
      <c r="E1946" s="45" t="n"/>
      <c r="F1946" s="45" t="n"/>
    </row>
    <row r="1947">
      <c r="A1947" s="16">
        <f>IF($B1947="","",COUNTA($B$4:$B1947))</f>
        <v/>
      </c>
      <c r="B1947" s="72" t="n"/>
      <c r="C1947" s="40" t="n"/>
      <c r="D1947" s="47" t="n"/>
      <c r="E1947" s="47" t="n"/>
      <c r="F1947" s="47" t="n"/>
    </row>
    <row r="1948">
      <c r="A1948" s="16">
        <f>IF($B1948="","",COUNTA($B$4:$B1948))</f>
        <v/>
      </c>
      <c r="B1948" s="71" t="n"/>
      <c r="C1948" s="38" t="n"/>
      <c r="D1948" s="45" t="n"/>
      <c r="E1948" s="45" t="n"/>
      <c r="F1948" s="45" t="n"/>
    </row>
    <row r="1949">
      <c r="A1949" s="16">
        <f>IF($B1949="","",COUNTA($B$4:$B1949))</f>
        <v/>
      </c>
      <c r="B1949" s="72" t="n"/>
      <c r="C1949" s="40" t="n"/>
      <c r="D1949" s="47" t="n"/>
      <c r="E1949" s="47" t="n"/>
      <c r="F1949" s="47" t="n"/>
    </row>
    <row r="1950">
      <c r="A1950" s="16">
        <f>IF($B1950="","",COUNTA($B$4:$B1950))</f>
        <v/>
      </c>
      <c r="B1950" s="71" t="n"/>
      <c r="C1950" s="38" t="n"/>
      <c r="D1950" s="45" t="n"/>
      <c r="E1950" s="45" t="n"/>
      <c r="F1950" s="45" t="n"/>
    </row>
    <row r="1951">
      <c r="A1951" s="16">
        <f>IF($B1951="","",COUNTA($B$4:$B1951))</f>
        <v/>
      </c>
      <c r="B1951" s="72" t="n"/>
      <c r="C1951" s="40" t="n"/>
      <c r="D1951" s="47" t="n"/>
      <c r="E1951" s="47" t="n"/>
      <c r="F1951" s="47" t="n"/>
    </row>
    <row r="1952">
      <c r="A1952" s="16">
        <f>IF($B1952="","",COUNTA($B$4:$B1952))</f>
        <v/>
      </c>
      <c r="B1952" s="71" t="n"/>
      <c r="C1952" s="38" t="n"/>
      <c r="D1952" s="45" t="n"/>
      <c r="E1952" s="45" t="n"/>
      <c r="F1952" s="45" t="n"/>
    </row>
    <row r="1953">
      <c r="A1953" s="16">
        <f>IF($B1953="","",COUNTA($B$4:$B1953))</f>
        <v/>
      </c>
      <c r="B1953" s="72" t="n"/>
      <c r="C1953" s="40" t="n"/>
      <c r="D1953" s="47" t="n"/>
      <c r="E1953" s="47" t="n"/>
      <c r="F1953" s="47" t="n"/>
    </row>
    <row r="1954">
      <c r="A1954" s="16">
        <f>IF($B1954="","",COUNTA($B$4:$B1954))</f>
        <v/>
      </c>
      <c r="B1954" s="71" t="n"/>
      <c r="C1954" s="38" t="n"/>
      <c r="D1954" s="45" t="n"/>
      <c r="E1954" s="45" t="n"/>
      <c r="F1954" s="45" t="n"/>
    </row>
    <row r="1955">
      <c r="A1955" s="16">
        <f>IF($B1955="","",COUNTA($B$4:$B1955))</f>
        <v/>
      </c>
      <c r="B1955" s="72" t="n"/>
      <c r="C1955" s="40" t="n"/>
      <c r="D1955" s="47" t="n"/>
      <c r="E1955" s="47" t="n"/>
      <c r="F1955" s="47" t="n"/>
    </row>
    <row r="1956">
      <c r="A1956" s="16">
        <f>IF($B1956="","",COUNTA($B$4:$B1956))</f>
        <v/>
      </c>
      <c r="B1956" s="71" t="n"/>
      <c r="C1956" s="38" t="n"/>
      <c r="D1956" s="45" t="n"/>
      <c r="E1956" s="45" t="n"/>
      <c r="F1956" s="45" t="n"/>
    </row>
    <row r="1957">
      <c r="A1957" s="16">
        <f>IF($B1957="","",COUNTA($B$4:$B1957))</f>
        <v/>
      </c>
      <c r="B1957" s="72" t="n"/>
      <c r="C1957" s="40" t="n"/>
      <c r="D1957" s="47" t="n"/>
      <c r="E1957" s="47" t="n"/>
      <c r="F1957" s="47" t="n"/>
    </row>
    <row r="1958">
      <c r="A1958" s="16">
        <f>IF($B1958="","",COUNTA($B$4:$B1958))</f>
        <v/>
      </c>
      <c r="B1958" s="71" t="n"/>
      <c r="C1958" s="38" t="n"/>
      <c r="D1958" s="45" t="n"/>
      <c r="E1958" s="45" t="n"/>
      <c r="F1958" s="45" t="n"/>
    </row>
    <row r="1959">
      <c r="A1959" s="16">
        <f>IF($B1959="","",COUNTA($B$4:$B1959))</f>
        <v/>
      </c>
      <c r="B1959" s="72" t="n"/>
      <c r="C1959" s="40" t="n"/>
      <c r="D1959" s="47" t="n"/>
      <c r="E1959" s="47" t="n"/>
      <c r="F1959" s="47" t="n"/>
    </row>
    <row r="1960">
      <c r="A1960" s="16">
        <f>IF($B1960="","",COUNTA($B$4:$B1960))</f>
        <v/>
      </c>
      <c r="B1960" s="71" t="n"/>
      <c r="C1960" s="38" t="n"/>
      <c r="D1960" s="45" t="n"/>
      <c r="E1960" s="45" t="n"/>
      <c r="F1960" s="45" t="n"/>
    </row>
    <row r="1961">
      <c r="A1961" s="16">
        <f>IF($B1961="","",COUNTA($B$4:$B1961))</f>
        <v/>
      </c>
      <c r="B1961" s="72" t="n"/>
      <c r="C1961" s="40" t="n"/>
      <c r="D1961" s="47" t="n"/>
      <c r="E1961" s="47" t="n"/>
      <c r="F1961" s="47" t="n"/>
    </row>
    <row r="1962">
      <c r="A1962" s="16">
        <f>IF($B1962="","",COUNTA($B$4:$B1962))</f>
        <v/>
      </c>
      <c r="B1962" s="71" t="n"/>
      <c r="C1962" s="38" t="n"/>
      <c r="D1962" s="45" t="n"/>
      <c r="E1962" s="45" t="n"/>
      <c r="F1962" s="45" t="n"/>
    </row>
    <row r="1963">
      <c r="A1963" s="16">
        <f>IF($B1963="","",COUNTA($B$4:$B1963))</f>
        <v/>
      </c>
      <c r="B1963" s="72" t="n"/>
      <c r="C1963" s="40" t="n"/>
      <c r="D1963" s="47" t="n"/>
      <c r="E1963" s="47" t="n"/>
      <c r="F1963" s="47" t="n"/>
    </row>
    <row r="1964">
      <c r="A1964" s="16">
        <f>IF($B1964="","",COUNTA($B$4:$B1964))</f>
        <v/>
      </c>
      <c r="B1964" s="71" t="n"/>
      <c r="C1964" s="38" t="n"/>
      <c r="D1964" s="45" t="n"/>
      <c r="E1964" s="45" t="n"/>
      <c r="F1964" s="45" t="n"/>
    </row>
    <row r="1965">
      <c r="A1965" s="16">
        <f>IF($B1965="","",COUNTA($B$4:$B1965))</f>
        <v/>
      </c>
      <c r="B1965" s="72" t="n"/>
      <c r="C1965" s="40" t="n"/>
      <c r="D1965" s="47" t="n"/>
      <c r="E1965" s="47" t="n"/>
      <c r="F1965" s="47" t="n"/>
    </row>
    <row r="1966">
      <c r="A1966" s="16">
        <f>IF($B1966="","",COUNTA($B$4:$B1966))</f>
        <v/>
      </c>
      <c r="B1966" s="71" t="n"/>
      <c r="C1966" s="38" t="n"/>
      <c r="D1966" s="45" t="n"/>
      <c r="E1966" s="45" t="n"/>
      <c r="F1966" s="45" t="n"/>
    </row>
    <row r="1967">
      <c r="A1967" s="16">
        <f>IF($B1967="","",COUNTA($B$4:$B1967))</f>
        <v/>
      </c>
      <c r="B1967" s="72" t="n"/>
      <c r="C1967" s="40" t="n"/>
      <c r="D1967" s="47" t="n"/>
      <c r="E1967" s="47" t="n"/>
      <c r="F1967" s="47" t="n"/>
    </row>
    <row r="1968">
      <c r="A1968" s="16">
        <f>IF($B1968="","",COUNTA($B$4:$B1968))</f>
        <v/>
      </c>
      <c r="B1968" s="71" t="n"/>
      <c r="C1968" s="38" t="n"/>
      <c r="D1968" s="45" t="n"/>
      <c r="E1968" s="45" t="n"/>
      <c r="F1968" s="45" t="n"/>
    </row>
    <row r="1969">
      <c r="A1969" s="16">
        <f>IF($B1969="","",COUNTA($B$4:$B1969))</f>
        <v/>
      </c>
      <c r="B1969" s="72" t="n"/>
      <c r="C1969" s="40" t="n"/>
      <c r="D1969" s="47" t="n"/>
      <c r="E1969" s="47" t="n"/>
      <c r="F1969" s="47" t="n"/>
    </row>
    <row r="1970">
      <c r="A1970" s="16">
        <f>IF($B1970="","",COUNTA($B$4:$B1970))</f>
        <v/>
      </c>
      <c r="B1970" s="71" t="n"/>
      <c r="C1970" s="38" t="n"/>
      <c r="D1970" s="45" t="n"/>
      <c r="E1970" s="45" t="n"/>
      <c r="F1970" s="45" t="n"/>
    </row>
    <row r="1971">
      <c r="A1971" s="16">
        <f>IF($B1971="","",COUNTA($B$4:$B1971))</f>
        <v/>
      </c>
      <c r="B1971" s="72" t="n"/>
      <c r="C1971" s="40" t="n"/>
      <c r="D1971" s="47" t="n"/>
      <c r="E1971" s="47" t="n"/>
      <c r="F1971" s="47" t="n"/>
    </row>
    <row r="1972">
      <c r="A1972" s="16">
        <f>IF($B1972="","",COUNTA($B$4:$B1972))</f>
        <v/>
      </c>
      <c r="B1972" s="71" t="n"/>
      <c r="C1972" s="38" t="n"/>
      <c r="D1972" s="45" t="n"/>
      <c r="E1972" s="45" t="n"/>
      <c r="F1972" s="45" t="n"/>
    </row>
    <row r="1973">
      <c r="A1973" s="16">
        <f>IF($B1973="","",COUNTA($B$4:$B1973))</f>
        <v/>
      </c>
      <c r="B1973" s="72" t="n"/>
      <c r="C1973" s="40" t="n"/>
      <c r="D1973" s="47" t="n"/>
      <c r="E1973" s="47" t="n"/>
      <c r="F1973" s="47" t="n"/>
    </row>
    <row r="1974">
      <c r="A1974" s="16">
        <f>IF($B1974="","",COUNTA($B$4:$B1974))</f>
        <v/>
      </c>
      <c r="B1974" s="71" t="n"/>
      <c r="C1974" s="38" t="n"/>
      <c r="D1974" s="45" t="n"/>
      <c r="E1974" s="45" t="n"/>
      <c r="F1974" s="45" t="n"/>
    </row>
    <row r="1975">
      <c r="A1975" s="16">
        <f>IF($B1975="","",COUNTA($B$4:$B1975))</f>
        <v/>
      </c>
      <c r="B1975" s="72" t="n"/>
      <c r="C1975" s="40" t="n"/>
      <c r="D1975" s="47" t="n"/>
      <c r="E1975" s="47" t="n"/>
      <c r="F1975" s="47" t="n"/>
    </row>
    <row r="1976">
      <c r="A1976" s="16">
        <f>IF($B1976="","",COUNTA($B$4:$B1976))</f>
        <v/>
      </c>
      <c r="B1976" s="71" t="n"/>
      <c r="C1976" s="38" t="n"/>
      <c r="D1976" s="45" t="n"/>
      <c r="E1976" s="45" t="n"/>
      <c r="F1976" s="45" t="n"/>
    </row>
    <row r="1977">
      <c r="A1977" s="16">
        <f>IF($B1977="","",COUNTA($B$4:$B1977))</f>
        <v/>
      </c>
      <c r="B1977" s="72" t="n"/>
      <c r="C1977" s="40" t="n"/>
      <c r="D1977" s="47" t="n"/>
      <c r="E1977" s="47" t="n"/>
      <c r="F1977" s="47" t="n"/>
    </row>
    <row r="1978">
      <c r="A1978" s="16">
        <f>IF($B1978="","",COUNTA($B$4:$B1978))</f>
        <v/>
      </c>
      <c r="B1978" s="71" t="n"/>
      <c r="C1978" s="38" t="n"/>
      <c r="D1978" s="45" t="n"/>
      <c r="E1978" s="45" t="n"/>
      <c r="F1978" s="45" t="n"/>
    </row>
    <row r="1979">
      <c r="A1979" s="16">
        <f>IF($B1979="","",COUNTA($B$4:$B1979))</f>
        <v/>
      </c>
      <c r="B1979" s="72" t="n"/>
      <c r="C1979" s="40" t="n"/>
      <c r="D1979" s="47" t="n"/>
      <c r="E1979" s="47" t="n"/>
      <c r="F1979" s="47" t="n"/>
    </row>
    <row r="1980">
      <c r="A1980" s="16">
        <f>IF($B1980="","",COUNTA($B$4:$B1980))</f>
        <v/>
      </c>
      <c r="B1980" s="71" t="n"/>
      <c r="C1980" s="38" t="n"/>
      <c r="D1980" s="45" t="n"/>
      <c r="E1980" s="45" t="n"/>
      <c r="F1980" s="45" t="n"/>
    </row>
    <row r="1981">
      <c r="A1981" s="16">
        <f>IF($B1981="","",COUNTA($B$4:$B1981))</f>
        <v/>
      </c>
      <c r="B1981" s="72" t="n"/>
      <c r="C1981" s="40" t="n"/>
      <c r="D1981" s="47" t="n"/>
      <c r="E1981" s="47" t="n"/>
      <c r="F1981" s="47" t="n"/>
    </row>
    <row r="1982">
      <c r="A1982" s="16">
        <f>IF($B1982="","",COUNTA($B$4:$B1982))</f>
        <v/>
      </c>
      <c r="B1982" s="71" t="n"/>
      <c r="C1982" s="38" t="n"/>
      <c r="D1982" s="45" t="n"/>
      <c r="E1982" s="45" t="n"/>
      <c r="F1982" s="45" t="n"/>
    </row>
    <row r="1983">
      <c r="A1983" s="16">
        <f>IF($B1983="","",COUNTA($B$4:$B1983))</f>
        <v/>
      </c>
      <c r="B1983" s="72" t="n"/>
      <c r="C1983" s="40" t="n"/>
      <c r="D1983" s="47" t="n"/>
      <c r="E1983" s="47" t="n"/>
      <c r="F1983" s="47" t="n"/>
    </row>
    <row r="1984">
      <c r="A1984" s="16">
        <f>IF($B1984="","",COUNTA($B$4:$B1984))</f>
        <v/>
      </c>
      <c r="B1984" s="71" t="n"/>
      <c r="C1984" s="38" t="n"/>
      <c r="D1984" s="45" t="n"/>
      <c r="E1984" s="45" t="n"/>
      <c r="F1984" s="45" t="n"/>
    </row>
    <row r="1985">
      <c r="A1985" s="16">
        <f>IF($B1985="","",COUNTA($B$4:$B1985))</f>
        <v/>
      </c>
      <c r="B1985" s="72" t="n"/>
      <c r="C1985" s="40" t="n"/>
      <c r="D1985" s="47" t="n"/>
      <c r="E1985" s="47" t="n"/>
      <c r="F1985" s="47" t="n"/>
    </row>
    <row r="1986">
      <c r="A1986" s="16">
        <f>IF($B1986="","",COUNTA($B$4:$B1986))</f>
        <v/>
      </c>
      <c r="B1986" s="71" t="n"/>
      <c r="C1986" s="38" t="n"/>
      <c r="D1986" s="45" t="n"/>
      <c r="E1986" s="45" t="n"/>
      <c r="F1986" s="45" t="n"/>
    </row>
    <row r="1987">
      <c r="A1987" s="16">
        <f>IF($B1987="","",COUNTA($B$4:$B1987))</f>
        <v/>
      </c>
      <c r="B1987" s="72" t="n"/>
      <c r="C1987" s="40" t="n"/>
      <c r="D1987" s="47" t="n"/>
      <c r="E1987" s="47" t="n"/>
      <c r="F1987" s="47" t="n"/>
    </row>
    <row r="1988">
      <c r="A1988" s="16">
        <f>IF($B1988="","",COUNTA($B$4:$B1988))</f>
        <v/>
      </c>
      <c r="B1988" s="71" t="n"/>
      <c r="C1988" s="38" t="n"/>
      <c r="D1988" s="45" t="n"/>
      <c r="E1988" s="45" t="n"/>
      <c r="F1988" s="45" t="n"/>
    </row>
    <row r="1989">
      <c r="A1989" s="16">
        <f>IF($B1989="","",COUNTA($B$4:$B1989))</f>
        <v/>
      </c>
      <c r="B1989" s="72" t="n"/>
      <c r="C1989" s="40" t="n"/>
      <c r="D1989" s="47" t="n"/>
      <c r="E1989" s="47" t="n"/>
      <c r="F1989" s="47" t="n"/>
    </row>
    <row r="1990">
      <c r="A1990" s="16">
        <f>IF($B1990="","",COUNTA($B$4:$B1990))</f>
        <v/>
      </c>
      <c r="B1990" s="71" t="n"/>
      <c r="C1990" s="38" t="n"/>
      <c r="D1990" s="45" t="n"/>
      <c r="E1990" s="45" t="n"/>
      <c r="F1990" s="45" t="n"/>
    </row>
    <row r="1991">
      <c r="A1991" s="16">
        <f>IF($B1991="","",COUNTA($B$4:$B1991))</f>
        <v/>
      </c>
      <c r="B1991" s="72" t="n"/>
      <c r="C1991" s="40" t="n"/>
      <c r="D1991" s="47" t="n"/>
      <c r="E1991" s="47" t="n"/>
      <c r="F1991" s="47" t="n"/>
    </row>
    <row r="1992">
      <c r="A1992" s="16">
        <f>IF($B1992="","",COUNTA($B$4:$B1992))</f>
        <v/>
      </c>
      <c r="B1992" s="71" t="n"/>
      <c r="C1992" s="38" t="n"/>
      <c r="D1992" s="45" t="n"/>
      <c r="E1992" s="45" t="n"/>
      <c r="F1992" s="45" t="n"/>
    </row>
    <row r="1993">
      <c r="A1993" s="16">
        <f>IF($B1993="","",COUNTA($B$4:$B1993))</f>
        <v/>
      </c>
      <c r="B1993" s="72" t="n"/>
      <c r="C1993" s="40" t="n"/>
      <c r="D1993" s="47" t="n"/>
      <c r="E1993" s="47" t="n"/>
      <c r="F1993" s="47" t="n"/>
    </row>
    <row r="1994">
      <c r="A1994" s="16">
        <f>IF($B1994="","",COUNTA($B$4:$B1994))</f>
        <v/>
      </c>
      <c r="B1994" s="71" t="n"/>
      <c r="C1994" s="38" t="n"/>
      <c r="D1994" s="45" t="n"/>
      <c r="E1994" s="45" t="n"/>
      <c r="F1994" s="45" t="n"/>
    </row>
    <row r="1995">
      <c r="A1995" s="16">
        <f>IF($B1995="","",COUNTA($B$4:$B1995))</f>
        <v/>
      </c>
      <c r="B1995" s="72" t="n"/>
      <c r="C1995" s="40" t="n"/>
      <c r="D1995" s="47" t="n"/>
      <c r="E1995" s="47" t="n"/>
      <c r="F1995" s="47" t="n"/>
    </row>
    <row r="1996">
      <c r="A1996" s="16">
        <f>IF($B1996="","",COUNTA($B$4:$B1996))</f>
        <v/>
      </c>
      <c r="B1996" s="71" t="n"/>
      <c r="C1996" s="38" t="n"/>
      <c r="D1996" s="45" t="n"/>
      <c r="E1996" s="45" t="n"/>
      <c r="F1996" s="45" t="n"/>
    </row>
    <row r="1997">
      <c r="A1997" s="16">
        <f>IF($B1997="","",COUNTA($B$4:$B1997))</f>
        <v/>
      </c>
      <c r="B1997" s="72" t="n"/>
      <c r="C1997" s="40" t="n"/>
      <c r="D1997" s="47" t="n"/>
      <c r="E1997" s="47" t="n"/>
      <c r="F1997" s="47" t="n"/>
    </row>
    <row r="1998">
      <c r="A1998" s="16">
        <f>IF($B1998="","",COUNTA($B$4:$B1998))</f>
        <v/>
      </c>
      <c r="B1998" s="71" t="n"/>
      <c r="C1998" s="38" t="n"/>
      <c r="D1998" s="45" t="n"/>
      <c r="E1998" s="45" t="n"/>
      <c r="F1998" s="45" t="n"/>
    </row>
    <row r="1999">
      <c r="A1999" s="16">
        <f>IF($B1999="","",COUNTA($B$4:$B1999))</f>
        <v/>
      </c>
      <c r="B1999" s="72" t="n"/>
      <c r="C1999" s="40" t="n"/>
      <c r="D1999" s="47" t="n"/>
      <c r="E1999" s="47" t="n"/>
      <c r="F1999" s="47" t="n"/>
    </row>
    <row r="2000">
      <c r="A2000" s="16">
        <f>IF($B2000="","",COUNTA($B$4:$B2000))</f>
        <v/>
      </c>
      <c r="B2000" s="71" t="n"/>
      <c r="C2000" s="38" t="n"/>
      <c r="D2000" s="45" t="n"/>
      <c r="E2000" s="45" t="n"/>
      <c r="F2000" s="45" t="n"/>
    </row>
    <row r="2001">
      <c r="A2001" s="16">
        <f>IF($B2001="","",COUNTA($B$4:$B2001))</f>
        <v/>
      </c>
      <c r="B2001" s="72" t="n"/>
      <c r="C2001" s="40" t="n"/>
      <c r="D2001" s="47" t="n"/>
      <c r="E2001" s="47" t="n"/>
      <c r="F2001" s="47" t="n"/>
    </row>
    <row r="2002">
      <c r="A2002" s="16">
        <f>IF($B2002="","",COUNTA($B$4:$B2002))</f>
        <v/>
      </c>
      <c r="B2002" s="71" t="n"/>
      <c r="C2002" s="38" t="n"/>
      <c r="D2002" s="45" t="n"/>
      <c r="E2002" s="45" t="n"/>
      <c r="F2002" s="45" t="n"/>
    </row>
    <row r="2003">
      <c r="A2003" s="16">
        <f>IF($B2003="","",COUNTA($B$4:$B2003))</f>
        <v/>
      </c>
      <c r="B2003" s="72" t="n"/>
      <c r="C2003" s="40" t="n"/>
      <c r="D2003" s="47" t="n"/>
      <c r="E2003" s="47" t="n"/>
      <c r="F2003" s="47" t="n"/>
    </row>
    <row r="2004">
      <c r="A2004" s="41" t="n"/>
      <c r="B2004" s="41" t="inlineStr">
        <is>
          <t>الإجماليات</t>
        </is>
      </c>
      <c r="C2004" s="42">
        <f>SUM($C$4:$C$2003)</f>
        <v/>
      </c>
      <c r="D2004" s="41" t="n"/>
      <c r="E2004" s="41" t="n"/>
      <c r="F2004" s="41" t="n"/>
    </row>
  </sheetData>
  <autoFilter ref="A3:D2003"/>
  <mergeCells count="2">
    <mergeCell ref="A2:F2"/>
    <mergeCell ref="A1:F1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66666"/>
    <outlinePr summaryBelow="1" summaryRight="1"/>
    <pageSetUpPr/>
  </sheetPr>
  <dimension ref="A1:J203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" customWidth="1" min="3" max="3"/>
    <col width="18" customWidth="1" min="4" max="4"/>
    <col width="16" customWidth="1" min="5" max="5"/>
    <col width="16" customWidth="1" min="6" max="6"/>
    <col width="2" customWidth="1" min="7" max="7"/>
    <col width="20" customWidth="1" min="8" max="8"/>
    <col width="20" customWidth="1" min="9" max="9"/>
    <col width="22" customWidth="1" min="10" max="10"/>
  </cols>
  <sheetData>
    <row r="1" ht="34" customHeight="1">
      <c r="A1" s="1" t="inlineStr">
        <is>
          <t>شركة المتوكل  —  الإعدادات والقوائم</t>
        </is>
      </c>
    </row>
    <row r="2" ht="20" customHeight="1">
      <c r="A2" s="3" t="inlineStr">
        <is>
          <t>قوائم محلية + نسخة محدَّثة من قوائم الملف الأساسي (تُزامَن بسكربت المزامنة)</t>
        </is>
      </c>
    </row>
    <row r="3">
      <c r="A3" s="49" t="inlineStr">
        <is>
          <t>الإعداد</t>
        </is>
      </c>
      <c r="B3" s="49" t="inlineStr">
        <is>
          <t>القيمة</t>
        </is>
      </c>
      <c r="D3" s="50" t="inlineStr">
        <is>
          <t>شركة الشحن</t>
        </is>
      </c>
      <c r="E3" s="50" t="inlineStr">
        <is>
          <t>توكيل</t>
        </is>
      </c>
      <c r="F3" s="50" t="inlineStr">
        <is>
          <t>الميناء</t>
        </is>
      </c>
      <c r="H3" s="51" t="inlineStr">
        <is>
          <t>الشركات (من الأساسي)</t>
        </is>
      </c>
      <c r="I3" s="51" t="inlineStr">
        <is>
          <t>الجهات (من الأساسي)</t>
        </is>
      </c>
      <c r="J3" s="51" t="inlineStr">
        <is>
          <t>ملاك السيارات (من الأساسي)</t>
        </is>
      </c>
    </row>
    <row r="4">
      <c r="A4" s="52" t="inlineStr">
        <is>
          <t>رصيد عهدة افتتاحي (أول يوم)</t>
        </is>
      </c>
      <c r="B4" s="73" t="n">
        <v>0</v>
      </c>
      <c r="D4" s="47" t="inlineStr">
        <is>
          <t>ميرسك</t>
        </is>
      </c>
      <c r="E4" s="47" t="n"/>
      <c r="F4" s="47" t="inlineStr">
        <is>
          <t>الإسكندرية</t>
        </is>
      </c>
      <c r="H4" s="47" t="inlineStr">
        <is>
          <t>l g</t>
        </is>
      </c>
      <c r="I4" s="47" t="inlineStr">
        <is>
          <t>أكتوبر</t>
        </is>
      </c>
      <c r="J4" s="47" t="inlineStr">
        <is>
          <t>ا/ماجد</t>
        </is>
      </c>
    </row>
    <row r="5">
      <c r="D5" s="47" t="inlineStr">
        <is>
          <t>MSC</t>
        </is>
      </c>
      <c r="E5" s="47" t="n"/>
      <c r="F5" s="47" t="inlineStr">
        <is>
          <t>الدخيلة</t>
        </is>
      </c>
      <c r="H5" s="47" t="inlineStr">
        <is>
          <t>ابيك</t>
        </is>
      </c>
      <c r="I5" s="47" t="inlineStr">
        <is>
          <t>ابو حماد</t>
        </is>
      </c>
      <c r="J5" s="47" t="inlineStr">
        <is>
          <t>ابراهيم ابو طالب</t>
        </is>
      </c>
    </row>
    <row r="6">
      <c r="D6" s="47" t="inlineStr">
        <is>
          <t>CMA CGM</t>
        </is>
      </c>
      <c r="E6" s="47" t="n"/>
      <c r="F6" s="47" t="inlineStr">
        <is>
          <t>دمياط</t>
        </is>
      </c>
      <c r="H6" s="47" t="inlineStr">
        <is>
          <t>اتش ام ام</t>
        </is>
      </c>
      <c r="I6" s="47" t="inlineStr">
        <is>
          <t>ابو رواش</t>
        </is>
      </c>
      <c r="J6" s="47" t="inlineStr">
        <is>
          <t>ابراهيم الشندويلى</t>
        </is>
      </c>
    </row>
    <row r="7">
      <c r="D7" s="47" t="inlineStr">
        <is>
          <t>هاباج لويد</t>
        </is>
      </c>
      <c r="E7" s="47" t="n"/>
      <c r="F7" s="47" t="inlineStr">
        <is>
          <t>بورسعيد</t>
        </is>
      </c>
      <c r="H7" s="47" t="inlineStr">
        <is>
          <t>اتش بى فلور</t>
        </is>
      </c>
      <c r="I7" s="47" t="inlineStr">
        <is>
          <t>ابو غالب</t>
        </is>
      </c>
      <c r="J7" s="47" t="inlineStr">
        <is>
          <t>ابراهيم الصعيدى</t>
        </is>
      </c>
    </row>
    <row r="8">
      <c r="D8" s="47" t="inlineStr">
        <is>
          <t>ONE</t>
        </is>
      </c>
      <c r="E8" s="47" t="n"/>
      <c r="F8" s="47" t="inlineStr">
        <is>
          <t>غرب بورسعيد</t>
        </is>
      </c>
      <c r="H8" s="47" t="inlineStr">
        <is>
          <t>اتش بى فولر</t>
        </is>
      </c>
      <c r="I8" s="47" t="inlineStr">
        <is>
          <t>ابوحماد الشرقيه</t>
        </is>
      </c>
      <c r="J8" s="47" t="inlineStr">
        <is>
          <t>ابراهيم العمدة</t>
        </is>
      </c>
    </row>
    <row r="9">
      <c r="D9" s="47" t="inlineStr">
        <is>
          <t>إيفرغرين</t>
        </is>
      </c>
      <c r="E9" s="47" t="n"/>
      <c r="F9" s="47" t="inlineStr">
        <is>
          <t>شرق بورسعيد</t>
        </is>
      </c>
      <c r="H9" s="47" t="inlineStr">
        <is>
          <t>اتش تى ام</t>
        </is>
      </c>
      <c r="I9" s="47" t="inlineStr">
        <is>
          <t>ابورواش</t>
        </is>
      </c>
      <c r="J9" s="47" t="inlineStr">
        <is>
          <t>ابراهيم القها</t>
        </is>
      </c>
    </row>
    <row r="10">
      <c r="D10" s="47" t="inlineStr">
        <is>
          <t>كوسكو</t>
        </is>
      </c>
      <c r="E10" s="47" t="n"/>
      <c r="F10" s="47" t="inlineStr">
        <is>
          <t>السخنة</t>
        </is>
      </c>
      <c r="H10" s="47" t="inlineStr">
        <is>
          <t>اتش دى</t>
        </is>
      </c>
      <c r="I10" s="47" t="inlineStr">
        <is>
          <t>ابيس</t>
        </is>
      </c>
      <c r="J10" s="47" t="inlineStr">
        <is>
          <t>ابراهيم انور</t>
        </is>
      </c>
    </row>
    <row r="11">
      <c r="D11" s="47" t="inlineStr">
        <is>
          <t>يانغ مينغ</t>
        </is>
      </c>
      <c r="E11" s="47" t="n"/>
      <c r="F11" s="47" t="inlineStr">
        <is>
          <t>سفاجا</t>
        </is>
      </c>
      <c r="H11" s="47" t="inlineStr">
        <is>
          <t>اجرو جرين</t>
        </is>
      </c>
      <c r="I11" s="47" t="inlineStr">
        <is>
          <t>اشاص / ج العبور</t>
        </is>
      </c>
      <c r="J11" s="47" t="inlineStr">
        <is>
          <t>ابراهيم عفيفى</t>
        </is>
      </c>
    </row>
    <row r="12">
      <c r="D12" s="47" t="inlineStr">
        <is>
          <t>هيونداي</t>
        </is>
      </c>
      <c r="E12" s="47" t="n"/>
      <c r="F12" s="47" t="inlineStr">
        <is>
          <t>نويبع</t>
        </is>
      </c>
      <c r="H12" s="47" t="inlineStr">
        <is>
          <t>اجرو لاند</t>
        </is>
      </c>
      <c r="I12" s="47" t="inlineStr">
        <is>
          <t>اكبوبر</t>
        </is>
      </c>
      <c r="J12" s="47" t="inlineStr">
        <is>
          <t>ابراهيم كامل</t>
        </is>
      </c>
    </row>
    <row r="13">
      <c r="D13" s="47" t="inlineStr">
        <is>
          <t>زيم</t>
        </is>
      </c>
      <c r="E13" s="47" t="n"/>
      <c r="F13" s="47" t="inlineStr">
        <is>
          <t>العريش</t>
        </is>
      </c>
      <c r="H13" s="47" t="inlineStr">
        <is>
          <t>اجروفود</t>
        </is>
      </c>
      <c r="I13" s="47" t="inlineStr">
        <is>
          <t>اكتوبر</t>
        </is>
      </c>
      <c r="J13" s="47" t="inlineStr">
        <is>
          <t>ابراهيم يسرى</t>
        </is>
      </c>
    </row>
    <row r="14">
      <c r="D14" s="47" t="inlineStr">
        <is>
          <t>OOCL</t>
        </is>
      </c>
      <c r="E14" s="47" t="n"/>
      <c r="F14" s="47" t="inlineStr">
        <is>
          <t>6 أكتوبر الجاف</t>
        </is>
      </c>
      <c r="H14" s="47" t="inlineStr">
        <is>
          <t>اجريفود</t>
        </is>
      </c>
      <c r="I14" s="47" t="inlineStr">
        <is>
          <t>الاسماعيليه</t>
        </is>
      </c>
      <c r="J14" s="47" t="inlineStr">
        <is>
          <t>ابراهيم يونس</t>
        </is>
      </c>
    </row>
    <row r="15">
      <c r="D15" s="47" t="inlineStr">
        <is>
          <t>سيلاند</t>
        </is>
      </c>
      <c r="E15" s="47" t="n"/>
      <c r="F15" s="47" t="inlineStr">
        <is>
          <t>القاهرة الجاف</t>
        </is>
      </c>
      <c r="H15" s="47" t="inlineStr">
        <is>
          <t>ادفاليو</t>
        </is>
      </c>
      <c r="I15" s="47" t="inlineStr">
        <is>
          <t>الاقصر</t>
        </is>
      </c>
      <c r="J15" s="47" t="inlineStr">
        <is>
          <t>ابرهيم غزال</t>
        </is>
      </c>
    </row>
    <row r="16">
      <c r="D16" s="47" t="inlineStr">
        <is>
          <t>الوطنية</t>
        </is>
      </c>
      <c r="E16" s="47" t="n"/>
      <c r="F16" s="47" t="n"/>
      <c r="H16" s="47" t="inlineStr">
        <is>
          <t>ارستون</t>
        </is>
      </c>
      <c r="I16" s="47" t="inlineStr">
        <is>
          <t>البدرشين</t>
        </is>
      </c>
      <c r="J16" s="47" t="inlineStr">
        <is>
          <t>ابو ادم</t>
        </is>
      </c>
    </row>
    <row r="17">
      <c r="D17" s="47" t="n"/>
      <c r="E17" s="47" t="n"/>
      <c r="F17" s="47" t="n"/>
      <c r="H17" s="47" t="inlineStr">
        <is>
          <t>اركانا</t>
        </is>
      </c>
      <c r="I17" s="47" t="inlineStr">
        <is>
          <t>البراوى</t>
        </is>
      </c>
      <c r="J17" s="47" t="inlineStr">
        <is>
          <t>ابو رحاب</t>
        </is>
      </c>
    </row>
    <row r="18">
      <c r="D18" s="47" t="n"/>
      <c r="E18" s="47" t="n"/>
      <c r="F18" s="47" t="n"/>
      <c r="H18" s="47" t="inlineStr">
        <is>
          <t>اروماتك</t>
        </is>
      </c>
      <c r="I18" s="47" t="inlineStr">
        <is>
          <t>البرج</t>
        </is>
      </c>
      <c r="J18" s="47" t="inlineStr">
        <is>
          <t>ابو طالب</t>
        </is>
      </c>
    </row>
    <row r="19">
      <c r="D19" s="47" t="n"/>
      <c r="E19" s="47" t="n"/>
      <c r="F19" s="47" t="n"/>
      <c r="H19" s="47" t="inlineStr">
        <is>
          <t>اروماتيك</t>
        </is>
      </c>
      <c r="I19" s="47" t="inlineStr">
        <is>
          <t>التجمع</t>
        </is>
      </c>
      <c r="J19" s="47" t="inlineStr">
        <is>
          <t>ابو كارما</t>
        </is>
      </c>
    </row>
    <row r="20">
      <c r="D20" s="47" t="n"/>
      <c r="E20" s="47" t="n"/>
      <c r="F20" s="47" t="n"/>
      <c r="H20" s="47" t="inlineStr">
        <is>
          <t>استيل لاند</t>
        </is>
      </c>
      <c r="I20" s="47" t="inlineStr">
        <is>
          <t>التجمع 5</t>
        </is>
      </c>
      <c r="J20" s="47" t="inlineStr">
        <is>
          <t>ابو مينا</t>
        </is>
      </c>
    </row>
    <row r="21">
      <c r="D21" s="47" t="n"/>
      <c r="E21" s="47" t="n"/>
      <c r="F21" s="47" t="n"/>
      <c r="H21" s="47" t="inlineStr">
        <is>
          <t>اسطنبول</t>
        </is>
      </c>
      <c r="I21" s="47" t="inlineStr">
        <is>
          <t>التجمع الاول</t>
        </is>
      </c>
      <c r="J21" s="47" t="inlineStr">
        <is>
          <t>ابو هبش</t>
        </is>
      </c>
    </row>
    <row r="22">
      <c r="D22" s="47" t="n"/>
      <c r="E22" s="47" t="n"/>
      <c r="F22" s="47" t="n"/>
      <c r="H22" s="47" t="inlineStr">
        <is>
          <t>اكما</t>
        </is>
      </c>
      <c r="I22" s="47" t="inlineStr">
        <is>
          <t>التوفيقية</t>
        </is>
      </c>
      <c r="J22" s="47" t="inlineStr">
        <is>
          <t>ابو يحى</t>
        </is>
      </c>
    </row>
    <row r="23">
      <c r="D23" s="47" t="n"/>
      <c r="E23" s="47" t="n"/>
      <c r="F23" s="47" t="n"/>
      <c r="H23" s="47" t="inlineStr">
        <is>
          <t>ال موندو</t>
        </is>
      </c>
      <c r="I23" s="47" t="inlineStr">
        <is>
          <t>الجيزة</t>
        </is>
      </c>
      <c r="J23" s="47" t="inlineStr">
        <is>
          <t>ابوادم</t>
        </is>
      </c>
    </row>
    <row r="24">
      <c r="D24" s="47" t="n"/>
      <c r="E24" s="47" t="n"/>
      <c r="F24" s="47" t="n"/>
      <c r="H24" s="47" t="inlineStr">
        <is>
          <t>الاسراء</t>
        </is>
      </c>
      <c r="I24" s="47" t="inlineStr">
        <is>
          <t>الحسينية</t>
        </is>
      </c>
      <c r="J24" s="47" t="inlineStr">
        <is>
          <t>احمد</t>
        </is>
      </c>
    </row>
    <row r="25">
      <c r="D25" s="47" t="n"/>
      <c r="E25" s="47" t="n"/>
      <c r="F25" s="47" t="n"/>
      <c r="H25" s="47" t="inlineStr">
        <is>
          <t>الاكرامى</t>
        </is>
      </c>
      <c r="I25" s="47" t="inlineStr">
        <is>
          <t>الحوامدية</t>
        </is>
      </c>
      <c r="J25" s="47" t="inlineStr">
        <is>
          <t>احمد ابراهيم</t>
        </is>
      </c>
    </row>
    <row r="26">
      <c r="D26" s="47" t="n"/>
      <c r="E26" s="47" t="n"/>
      <c r="F26" s="47" t="n"/>
      <c r="H26" s="47" t="inlineStr">
        <is>
          <t>الامراء</t>
        </is>
      </c>
      <c r="I26" s="47" t="inlineStr">
        <is>
          <t>الخطاطبة</t>
        </is>
      </c>
      <c r="J26" s="47" t="inlineStr">
        <is>
          <t>احمد البو</t>
        </is>
      </c>
    </row>
    <row r="27">
      <c r="D27" s="47" t="n"/>
      <c r="E27" s="47" t="n"/>
      <c r="F27" s="47" t="n"/>
      <c r="H27" s="47" t="inlineStr">
        <is>
          <t>الامل</t>
        </is>
      </c>
      <c r="I27" s="47" t="inlineStr">
        <is>
          <t>الزاوية الحمراء</t>
        </is>
      </c>
      <c r="J27" s="47" t="inlineStr">
        <is>
          <t>احمد السويفى</t>
        </is>
      </c>
    </row>
    <row r="28">
      <c r="D28" s="47" t="n"/>
      <c r="E28" s="47" t="n"/>
      <c r="F28" s="47" t="n"/>
      <c r="H28" s="47" t="inlineStr">
        <is>
          <t>الانارة العامة</t>
        </is>
      </c>
      <c r="I28" s="47" t="inlineStr">
        <is>
          <t>السادات</t>
        </is>
      </c>
      <c r="J28" s="47" t="inlineStr">
        <is>
          <t>احمد الشريف</t>
        </is>
      </c>
    </row>
    <row r="29">
      <c r="D29" s="47" t="n"/>
      <c r="E29" s="47" t="n"/>
      <c r="F29" s="47" t="n"/>
      <c r="H29" s="47" t="inlineStr">
        <is>
          <t>الاندلس</t>
        </is>
      </c>
      <c r="I29" s="47" t="inlineStr">
        <is>
          <t>السادات / ابو قير</t>
        </is>
      </c>
      <c r="J29" s="47" t="inlineStr">
        <is>
          <t>احمد الغامرى</t>
        </is>
      </c>
    </row>
    <row r="30">
      <c r="D30" s="47" t="n"/>
      <c r="E30" s="47" t="n"/>
      <c r="F30" s="47" t="n"/>
      <c r="H30" s="47" t="inlineStr">
        <is>
          <t>البارق</t>
        </is>
      </c>
      <c r="I30" s="47" t="inlineStr">
        <is>
          <t>السادات س و ت ابو قير</t>
        </is>
      </c>
      <c r="J30" s="47" t="inlineStr">
        <is>
          <t>احمد بنزينة</t>
        </is>
      </c>
    </row>
    <row r="31">
      <c r="D31" s="47" t="n"/>
      <c r="E31" s="47" t="n"/>
      <c r="F31" s="47" t="n"/>
      <c r="H31" s="47" t="inlineStr">
        <is>
          <t>الباز</t>
        </is>
      </c>
      <c r="I31" s="47" t="inlineStr">
        <is>
          <t>الشرفية</t>
        </is>
      </c>
      <c r="J31" s="47" t="inlineStr">
        <is>
          <t>احمد خطاب</t>
        </is>
      </c>
    </row>
    <row r="32">
      <c r="D32" s="47" t="n"/>
      <c r="E32" s="47" t="n"/>
      <c r="F32" s="47" t="n"/>
      <c r="H32" s="47" t="inlineStr">
        <is>
          <t>البراوى</t>
        </is>
      </c>
      <c r="I32" s="47" t="inlineStr">
        <is>
          <t>الشرقية</t>
        </is>
      </c>
      <c r="J32" s="47" t="inlineStr">
        <is>
          <t>احمد خليف</t>
        </is>
      </c>
    </row>
    <row r="33">
      <c r="D33" s="47" t="n"/>
      <c r="E33" s="47" t="n"/>
      <c r="F33" s="47" t="n"/>
      <c r="H33" s="47" t="inlineStr">
        <is>
          <t>البستانية</t>
        </is>
      </c>
      <c r="I33" s="47" t="inlineStr">
        <is>
          <t>الشرقيه انشاص</t>
        </is>
      </c>
      <c r="J33" s="47" t="inlineStr">
        <is>
          <t>احمد طة</t>
        </is>
      </c>
    </row>
    <row r="34">
      <c r="D34" s="47" t="n"/>
      <c r="E34" s="47" t="n"/>
      <c r="F34" s="47" t="n"/>
      <c r="H34" s="47" t="inlineStr">
        <is>
          <t>البستانية وارد</t>
        </is>
      </c>
      <c r="I34" s="47" t="inlineStr">
        <is>
          <t>الصالحية</t>
        </is>
      </c>
      <c r="J34" s="47" t="inlineStr">
        <is>
          <t>احمد عادل</t>
        </is>
      </c>
    </row>
    <row r="35">
      <c r="D35" s="47" t="n"/>
      <c r="E35" s="47" t="n"/>
      <c r="F35" s="47" t="n"/>
      <c r="H35" s="47" t="inlineStr">
        <is>
          <t>البوشى</t>
        </is>
      </c>
      <c r="I35" s="47" t="inlineStr">
        <is>
          <t>الصالحية / رجوع من ايتاى</t>
        </is>
      </c>
      <c r="J35" s="47" t="inlineStr">
        <is>
          <t>احمد عباس</t>
        </is>
      </c>
    </row>
    <row r="36">
      <c r="D36" s="47" t="n"/>
      <c r="E36" s="47" t="n"/>
      <c r="F36" s="47" t="n"/>
      <c r="H36" s="47" t="inlineStr">
        <is>
          <t>الجمل</t>
        </is>
      </c>
      <c r="I36" s="47" t="inlineStr">
        <is>
          <t>الصف</t>
        </is>
      </c>
      <c r="J36" s="47" t="inlineStr">
        <is>
          <t>احمد عيد</t>
        </is>
      </c>
    </row>
    <row r="37">
      <c r="D37" s="47" t="n"/>
      <c r="E37" s="47" t="n"/>
      <c r="F37" s="47" t="n"/>
      <c r="H37" s="47" t="inlineStr">
        <is>
          <t>الحمامى</t>
        </is>
      </c>
      <c r="I37" s="47" t="inlineStr">
        <is>
          <t>العااشر</t>
        </is>
      </c>
      <c r="J37" s="47" t="inlineStr">
        <is>
          <t>احمد فؤاد</t>
        </is>
      </c>
    </row>
    <row r="38">
      <c r="D38" s="47" t="n"/>
      <c r="E38" s="47" t="n"/>
      <c r="F38" s="47" t="n"/>
      <c r="H38" s="47" t="inlineStr">
        <is>
          <t>الحناوى</t>
        </is>
      </c>
      <c r="I38" s="47" t="inlineStr">
        <is>
          <t>العاشر</t>
        </is>
      </c>
      <c r="J38" s="47" t="inlineStr">
        <is>
          <t>احمد محسن</t>
        </is>
      </c>
    </row>
    <row r="39">
      <c r="D39" s="47" t="n"/>
      <c r="E39" s="47" t="n"/>
      <c r="F39" s="47" t="n"/>
      <c r="H39" s="47" t="inlineStr">
        <is>
          <t>الحناوي</t>
        </is>
      </c>
      <c r="I39" s="47" t="inlineStr">
        <is>
          <t>العاشر / بورسعيد ش</t>
        </is>
      </c>
      <c r="J39" s="47" t="inlineStr">
        <is>
          <t>احمد مخزن</t>
        </is>
      </c>
    </row>
    <row r="40">
      <c r="D40" s="47" t="n"/>
      <c r="E40" s="47" t="n"/>
      <c r="F40" s="47" t="n"/>
      <c r="H40" s="47" t="inlineStr">
        <is>
          <t>الخليج</t>
        </is>
      </c>
      <c r="I40" s="47" t="inlineStr">
        <is>
          <t>العالمين</t>
        </is>
      </c>
      <c r="J40" s="47" t="inlineStr">
        <is>
          <t>احمد منصور</t>
        </is>
      </c>
    </row>
    <row r="41">
      <c r="D41" s="47" t="n"/>
      <c r="E41" s="47" t="n"/>
      <c r="F41" s="47" t="n"/>
      <c r="H41" s="47" t="inlineStr">
        <is>
          <t>الدلتا للكتان</t>
        </is>
      </c>
      <c r="I41" s="47" t="inlineStr">
        <is>
          <t>العامرية</t>
        </is>
      </c>
      <c r="J41" s="47" t="inlineStr">
        <is>
          <t>احمد نادر</t>
        </is>
      </c>
    </row>
    <row r="42">
      <c r="D42" s="47" t="n"/>
      <c r="E42" s="47" t="n"/>
      <c r="F42" s="47" t="n"/>
      <c r="H42" s="47" t="inlineStr">
        <is>
          <t>الدولية</t>
        </is>
      </c>
      <c r="I42" s="47" t="inlineStr">
        <is>
          <t>العباسية</t>
        </is>
      </c>
      <c r="J42" s="47" t="inlineStr">
        <is>
          <t>احمد نبيل</t>
        </is>
      </c>
    </row>
    <row r="43">
      <c r="D43" s="47" t="n"/>
      <c r="E43" s="47" t="n"/>
      <c r="F43" s="47" t="n"/>
      <c r="H43" s="47" t="inlineStr">
        <is>
          <t>الدولية للادوية</t>
        </is>
      </c>
      <c r="I43" s="47" t="inlineStr">
        <is>
          <t>العبور</t>
        </is>
      </c>
      <c r="J43" s="47" t="inlineStr">
        <is>
          <t>احمد نبيلة</t>
        </is>
      </c>
    </row>
    <row r="44">
      <c r="D44" s="47" t="n"/>
      <c r="E44" s="47" t="n"/>
      <c r="F44" s="47" t="n"/>
      <c r="H44" s="47" t="inlineStr">
        <is>
          <t>الدولية للبن</t>
        </is>
      </c>
      <c r="I44" s="47" t="inlineStr">
        <is>
          <t>العبور / ت ابو قير</t>
        </is>
      </c>
      <c r="J44" s="47" t="inlineStr">
        <is>
          <t>احمد نصير</t>
        </is>
      </c>
    </row>
    <row r="45">
      <c r="D45" s="47" t="n"/>
      <c r="E45" s="47" t="n"/>
      <c r="F45" s="47" t="n"/>
      <c r="H45" s="47" t="inlineStr">
        <is>
          <t>الدولية للفحم</t>
        </is>
      </c>
      <c r="I45" s="47" t="inlineStr">
        <is>
          <t>الغردقة</t>
        </is>
      </c>
      <c r="J45" s="47" t="inlineStr">
        <is>
          <t>احمد يحى</t>
        </is>
      </c>
    </row>
    <row r="46">
      <c r="D46" s="47" t="n"/>
      <c r="E46" s="47" t="n"/>
      <c r="F46" s="47" t="n"/>
      <c r="H46" s="47" t="inlineStr">
        <is>
          <t>الدولية للمستلزمات</t>
        </is>
      </c>
      <c r="I46" s="47" t="inlineStr">
        <is>
          <t>الفيوم</t>
        </is>
      </c>
      <c r="J46" s="47" t="inlineStr">
        <is>
          <t>احمد يسرى</t>
        </is>
      </c>
    </row>
    <row r="47">
      <c r="D47" s="47" t="n"/>
      <c r="E47" s="47" t="n"/>
      <c r="F47" s="47" t="n"/>
      <c r="H47" s="47" t="inlineStr">
        <is>
          <t>الدولية لمستلزمات التعليم</t>
        </is>
      </c>
      <c r="I47" s="47" t="inlineStr">
        <is>
          <t>القاهرة</t>
        </is>
      </c>
      <c r="J47" s="47" t="inlineStr">
        <is>
          <t>اسامة</t>
        </is>
      </c>
    </row>
    <row r="48">
      <c r="D48" s="47" t="n"/>
      <c r="E48" s="47" t="n"/>
      <c r="F48" s="47" t="n"/>
      <c r="H48" s="47" t="inlineStr">
        <is>
          <t>الدوليه</t>
        </is>
      </c>
      <c r="I48" s="47" t="inlineStr">
        <is>
          <t>القطامية</t>
        </is>
      </c>
      <c r="J48" s="47" t="inlineStr">
        <is>
          <t>اسامة شعبان</t>
        </is>
      </c>
    </row>
    <row r="49">
      <c r="D49" s="47" t="n"/>
      <c r="E49" s="47" t="n"/>
      <c r="F49" s="47" t="n"/>
      <c r="H49" s="47" t="inlineStr">
        <is>
          <t>الدوليه انترناشونال</t>
        </is>
      </c>
      <c r="I49" s="47" t="inlineStr">
        <is>
          <t>القطاميه</t>
        </is>
      </c>
      <c r="J49" s="47" t="inlineStr">
        <is>
          <t>اسامة عوض</t>
        </is>
      </c>
    </row>
    <row r="50">
      <c r="D50" s="47" t="n"/>
      <c r="E50" s="47" t="n"/>
      <c r="F50" s="47" t="n"/>
      <c r="H50" s="47" t="inlineStr">
        <is>
          <t>الرافة</t>
        </is>
      </c>
      <c r="I50" s="47" t="inlineStr">
        <is>
          <t>القناطر</t>
        </is>
      </c>
      <c r="J50" s="47" t="inlineStr">
        <is>
          <t>اسامه شعبان</t>
        </is>
      </c>
    </row>
    <row r="51">
      <c r="D51" s="47" t="n"/>
      <c r="E51" s="47" t="n"/>
      <c r="F51" s="47" t="n"/>
      <c r="H51" s="47" t="inlineStr">
        <is>
          <t>الرحاب</t>
        </is>
      </c>
      <c r="I51" s="47" t="inlineStr">
        <is>
          <t>القناطر  / م بدر</t>
        </is>
      </c>
      <c r="J51" s="47" t="inlineStr">
        <is>
          <t>استوريا</t>
        </is>
      </c>
    </row>
    <row r="52">
      <c r="D52" s="47" t="n"/>
      <c r="E52" s="47" t="n"/>
      <c r="F52" s="47" t="n"/>
      <c r="H52" s="47" t="inlineStr">
        <is>
          <t>الروضة</t>
        </is>
      </c>
      <c r="I52" s="47" t="inlineStr">
        <is>
          <t>الكيلو59</t>
        </is>
      </c>
      <c r="J52" s="47" t="inlineStr">
        <is>
          <t>اسلام ابو خير</t>
        </is>
      </c>
    </row>
    <row r="53">
      <c r="D53" s="47" t="n"/>
      <c r="E53" s="47" t="n"/>
      <c r="F53" s="47" t="n"/>
      <c r="H53" s="47" t="inlineStr">
        <is>
          <t>الريعى</t>
        </is>
      </c>
      <c r="I53" s="47" t="inlineStr">
        <is>
          <t>الكينج مريوط</t>
        </is>
      </c>
      <c r="J53" s="47" t="inlineStr">
        <is>
          <t>اسلام راضى</t>
        </is>
      </c>
    </row>
    <row r="54">
      <c r="D54" s="47" t="n"/>
      <c r="E54" s="47" t="n"/>
      <c r="F54" s="47" t="n"/>
      <c r="H54" s="47" t="inlineStr">
        <is>
          <t>الريعي</t>
        </is>
      </c>
      <c r="I54" s="47" t="inlineStr">
        <is>
          <t>المحلة</t>
        </is>
      </c>
      <c r="J54" s="47" t="inlineStr">
        <is>
          <t>اسماعيل منصور</t>
        </is>
      </c>
    </row>
    <row r="55">
      <c r="D55" s="47" t="n"/>
      <c r="E55" s="47" t="n"/>
      <c r="F55" s="47" t="n"/>
      <c r="H55" s="47" t="inlineStr">
        <is>
          <t>الزهراء</t>
        </is>
      </c>
      <c r="I55" s="47" t="inlineStr">
        <is>
          <t>المريوطية</t>
        </is>
      </c>
      <c r="J55" s="47" t="inlineStr">
        <is>
          <t>اشرف الجمل</t>
        </is>
      </c>
    </row>
    <row r="56">
      <c r="D56" s="47" t="n"/>
      <c r="E56" s="47" t="n"/>
      <c r="F56" s="47" t="n"/>
      <c r="H56" s="47" t="inlineStr">
        <is>
          <t>الزيوت المستخلصة</t>
        </is>
      </c>
      <c r="I56" s="47" t="inlineStr">
        <is>
          <t>المعادى</t>
        </is>
      </c>
      <c r="J56" s="47" t="inlineStr">
        <is>
          <t>اشرف الحجرى</t>
        </is>
      </c>
    </row>
    <row r="57">
      <c r="D57" s="47" t="n"/>
      <c r="E57" s="47" t="n"/>
      <c r="F57" s="47" t="n"/>
      <c r="H57" s="47" t="inlineStr">
        <is>
          <t>السراج</t>
        </is>
      </c>
      <c r="I57" s="47" t="inlineStr">
        <is>
          <t>المكس</t>
        </is>
      </c>
      <c r="J57" s="47" t="inlineStr">
        <is>
          <t>اشرف الخجرى</t>
        </is>
      </c>
    </row>
    <row r="58">
      <c r="D58" s="47" t="n"/>
      <c r="E58" s="47" t="n"/>
      <c r="F58" s="47" t="n"/>
      <c r="H58" s="47" t="inlineStr">
        <is>
          <t>السعد</t>
        </is>
      </c>
      <c r="I58" s="47" t="inlineStr">
        <is>
          <t>المنصورة</t>
        </is>
      </c>
      <c r="J58" s="47" t="inlineStr">
        <is>
          <t>اشرف الخحجرى</t>
        </is>
      </c>
    </row>
    <row r="59">
      <c r="D59" s="47" t="n"/>
      <c r="E59" s="47" t="n"/>
      <c r="F59" s="47" t="n"/>
      <c r="H59" s="47" t="inlineStr">
        <is>
          <t>السويدى بوليمرز</t>
        </is>
      </c>
      <c r="I59" s="47" t="inlineStr">
        <is>
          <t>المنصورية</t>
        </is>
      </c>
      <c r="J59" s="47" t="inlineStr">
        <is>
          <t>اشرف حجرى</t>
        </is>
      </c>
    </row>
    <row r="60">
      <c r="D60" s="47" t="n"/>
      <c r="E60" s="47" t="n"/>
      <c r="F60" s="47" t="n"/>
      <c r="H60" s="47" t="inlineStr">
        <is>
          <t>السويدى للكابلات</t>
        </is>
      </c>
      <c r="I60" s="47" t="inlineStr">
        <is>
          <t>المنيا</t>
        </is>
      </c>
      <c r="J60" s="47" t="inlineStr">
        <is>
          <t>اشرف غزال</t>
        </is>
      </c>
    </row>
    <row r="61">
      <c r="D61" s="47" t="n"/>
      <c r="E61" s="47" t="n"/>
      <c r="F61" s="47" t="n"/>
      <c r="H61" s="47" t="inlineStr">
        <is>
          <t>السويدي بوليمارز</t>
        </is>
      </c>
      <c r="I61" s="47" t="inlineStr">
        <is>
          <t>النوبارية</t>
        </is>
      </c>
      <c r="J61" s="47" t="inlineStr">
        <is>
          <t>اكتوبر</t>
        </is>
      </c>
    </row>
    <row r="62">
      <c r="D62" s="47" t="n"/>
      <c r="E62" s="47" t="n"/>
      <c r="F62" s="47" t="n"/>
      <c r="H62" s="47" t="inlineStr">
        <is>
          <t>السويدي بوليمرز</t>
        </is>
      </c>
      <c r="I62" s="47" t="inlineStr">
        <is>
          <t>الهرم سقاره</t>
        </is>
      </c>
      <c r="J62" s="47" t="inlineStr">
        <is>
          <t>الاشرم</t>
        </is>
      </c>
    </row>
    <row r="63">
      <c r="D63" s="47" t="n"/>
      <c r="E63" s="47" t="n"/>
      <c r="F63" s="47" t="n"/>
      <c r="H63" s="47" t="inlineStr">
        <is>
          <t>الشركة الدولية للغزل</t>
        </is>
      </c>
      <c r="I63" s="47" t="inlineStr">
        <is>
          <t>الوراق</t>
        </is>
      </c>
      <c r="J63" s="47" t="inlineStr">
        <is>
          <t>البحيرى</t>
        </is>
      </c>
    </row>
    <row r="64">
      <c r="D64" s="47" t="n"/>
      <c r="E64" s="47" t="n"/>
      <c r="F64" s="47" t="n"/>
      <c r="H64" s="47" t="inlineStr">
        <is>
          <t>الصادق</t>
        </is>
      </c>
      <c r="I64" s="47" t="inlineStr">
        <is>
          <t>انشاص</t>
        </is>
      </c>
      <c r="J64" s="47" t="inlineStr">
        <is>
          <t>البحيري</t>
        </is>
      </c>
    </row>
    <row r="65">
      <c r="D65" s="47" t="n"/>
      <c r="E65" s="47" t="n"/>
      <c r="F65" s="47" t="n"/>
      <c r="H65" s="47" t="inlineStr">
        <is>
          <t>الصاوى والقداح</t>
        </is>
      </c>
      <c r="I65" s="47" t="inlineStr">
        <is>
          <t>انشاص / ج العبور</t>
        </is>
      </c>
      <c r="J65" s="47" t="inlineStr">
        <is>
          <t>البكرى</t>
        </is>
      </c>
    </row>
    <row r="66">
      <c r="D66" s="47" t="n"/>
      <c r="E66" s="47" t="n"/>
      <c r="F66" s="47" t="n"/>
      <c r="H66" s="47" t="inlineStr">
        <is>
          <t>الصديق</t>
        </is>
      </c>
      <c r="I66" s="47" t="inlineStr">
        <is>
          <t>انشاص /ج العاشر</t>
        </is>
      </c>
      <c r="J66" s="47" t="inlineStr">
        <is>
          <t>البورى</t>
        </is>
      </c>
    </row>
    <row r="67">
      <c r="D67" s="47" t="n"/>
      <c r="E67" s="47" t="n"/>
      <c r="F67" s="47" t="n"/>
      <c r="H67" s="47" t="inlineStr">
        <is>
          <t>الصعيد</t>
        </is>
      </c>
      <c r="I67" s="47" t="inlineStr">
        <is>
          <t>ايتاى البارود</t>
        </is>
      </c>
      <c r="J67" s="47" t="inlineStr">
        <is>
          <t>البيبى</t>
        </is>
      </c>
    </row>
    <row r="68">
      <c r="D68" s="47" t="n"/>
      <c r="E68" s="47" t="n"/>
      <c r="F68" s="47" t="n"/>
      <c r="H68" s="47" t="inlineStr">
        <is>
          <t>العاشر</t>
        </is>
      </c>
      <c r="I68" s="47" t="inlineStr">
        <is>
          <t>ب العرب</t>
        </is>
      </c>
      <c r="J68" s="47" t="inlineStr">
        <is>
          <t>البيضا</t>
        </is>
      </c>
    </row>
    <row r="69">
      <c r="D69" s="47" t="n"/>
      <c r="E69" s="47" t="n"/>
      <c r="F69" s="47" t="n"/>
      <c r="H69" s="47" t="inlineStr">
        <is>
          <t>العالمية</t>
        </is>
      </c>
      <c r="I69" s="47" t="inlineStr">
        <is>
          <t>ب سويف</t>
        </is>
      </c>
      <c r="J69" s="47" t="inlineStr">
        <is>
          <t>الجمل</t>
        </is>
      </c>
    </row>
    <row r="70">
      <c r="D70" s="47" t="n"/>
      <c r="E70" s="47" t="n"/>
      <c r="F70" s="47" t="n"/>
      <c r="H70" s="47" t="inlineStr">
        <is>
          <t>العدوى</t>
        </is>
      </c>
      <c r="I70" s="47" t="inlineStr">
        <is>
          <t>بتى سويف</t>
        </is>
      </c>
      <c r="J70" s="47" t="inlineStr">
        <is>
          <t>الحجرى</t>
        </is>
      </c>
    </row>
    <row r="71">
      <c r="D71" s="47" t="n"/>
      <c r="E71" s="47" t="n"/>
      <c r="F71" s="47" t="n"/>
      <c r="H71" s="47" t="inlineStr">
        <is>
          <t>العربية</t>
        </is>
      </c>
      <c r="I71" s="47" t="inlineStr">
        <is>
          <t>برج العرب</t>
        </is>
      </c>
      <c r="J71" s="47" t="inlineStr">
        <is>
          <t>الحنوتى</t>
        </is>
      </c>
    </row>
    <row r="72">
      <c r="D72" s="47" t="n"/>
      <c r="E72" s="47" t="n"/>
      <c r="F72" s="47" t="n"/>
      <c r="H72" s="47" t="inlineStr">
        <is>
          <t>العسل</t>
        </is>
      </c>
      <c r="I72" s="47" t="inlineStr">
        <is>
          <t>بلبيس</t>
        </is>
      </c>
      <c r="J72" s="47" t="inlineStr">
        <is>
          <t>الدلوعة</t>
        </is>
      </c>
    </row>
    <row r="73">
      <c r="D73" s="47" t="n"/>
      <c r="E73" s="47" t="n"/>
      <c r="F73" s="47" t="n"/>
      <c r="H73" s="47" t="inlineStr">
        <is>
          <t>الفارس</t>
        </is>
      </c>
      <c r="I73" s="47" t="inlineStr">
        <is>
          <t>بنى سويف</t>
        </is>
      </c>
      <c r="J73" s="47" t="inlineStr">
        <is>
          <t>الرامبو</t>
        </is>
      </c>
    </row>
    <row r="74">
      <c r="D74" s="47" t="n"/>
      <c r="E74" s="47" t="n"/>
      <c r="F74" s="47" t="n"/>
      <c r="H74" s="47" t="inlineStr">
        <is>
          <t>الفتح</t>
        </is>
      </c>
      <c r="I74" s="47" t="inlineStr">
        <is>
          <t>بني سويف</t>
        </is>
      </c>
      <c r="J74" s="47" t="inlineStr">
        <is>
          <t>الرحمة</t>
        </is>
      </c>
    </row>
    <row r="75">
      <c r="D75" s="47" t="n"/>
      <c r="E75" s="47" t="n"/>
      <c r="F75" s="47" t="n"/>
      <c r="H75" s="47" t="inlineStr">
        <is>
          <t>الفحم</t>
        </is>
      </c>
      <c r="I75" s="47" t="inlineStr">
        <is>
          <t>بور سعيد منطقه حره</t>
        </is>
      </c>
      <c r="J75" s="47" t="inlineStr">
        <is>
          <t>الروبى</t>
        </is>
      </c>
    </row>
    <row r="76">
      <c r="D76" s="47" t="n"/>
      <c r="E76" s="47" t="n"/>
      <c r="F76" s="47" t="n"/>
      <c r="H76" s="47" t="inlineStr">
        <is>
          <t>الفرسان</t>
        </is>
      </c>
      <c r="I76" s="47" t="inlineStr">
        <is>
          <t>بورسعيد</t>
        </is>
      </c>
      <c r="J76" s="47" t="inlineStr">
        <is>
          <t>الزوقزوق</t>
        </is>
      </c>
    </row>
    <row r="77">
      <c r="D77" s="47" t="n"/>
      <c r="E77" s="47" t="n"/>
      <c r="F77" s="47" t="n"/>
      <c r="H77" s="47" t="inlineStr">
        <is>
          <t>الفيحاء</t>
        </is>
      </c>
      <c r="I77" s="47" t="inlineStr">
        <is>
          <t>بورسعيد /الصالحية</t>
        </is>
      </c>
      <c r="J77" s="47" t="inlineStr">
        <is>
          <t>السائق</t>
        </is>
      </c>
    </row>
    <row r="78">
      <c r="D78" s="47" t="n"/>
      <c r="E78" s="47" t="n"/>
      <c r="F78" s="47" t="n"/>
      <c r="H78" s="47" t="inlineStr">
        <is>
          <t>الكرم</t>
        </is>
      </c>
      <c r="I78" s="47" t="inlineStr">
        <is>
          <t>بورسعيد ش</t>
        </is>
      </c>
      <c r="J78" s="47" t="inlineStr">
        <is>
          <t>السعدنى</t>
        </is>
      </c>
    </row>
    <row r="79">
      <c r="D79" s="47" t="n"/>
      <c r="E79" s="47" t="n"/>
      <c r="F79" s="47" t="n"/>
      <c r="H79" s="47" t="inlineStr">
        <is>
          <t>الكرنك</t>
        </is>
      </c>
      <c r="I79" s="47" t="inlineStr">
        <is>
          <t>جسر السويس</t>
        </is>
      </c>
      <c r="J79" s="47" t="inlineStr">
        <is>
          <t>السمرى</t>
        </is>
      </c>
    </row>
    <row r="80">
      <c r="D80" s="47" t="n"/>
      <c r="E80" s="47" t="n"/>
      <c r="F80" s="47" t="n"/>
      <c r="H80" s="47" t="inlineStr">
        <is>
          <t>الكوثر</t>
        </is>
      </c>
      <c r="I80" s="47" t="inlineStr">
        <is>
          <t>جمصة</t>
        </is>
      </c>
      <c r="J80" s="47" t="inlineStr">
        <is>
          <t>السمكرى</t>
        </is>
      </c>
    </row>
    <row r="81">
      <c r="D81" s="47" t="n"/>
      <c r="E81" s="47" t="n"/>
      <c r="F81" s="47" t="n"/>
      <c r="H81" s="47" t="inlineStr">
        <is>
          <t>اللوتس</t>
        </is>
      </c>
      <c r="I81" s="47" t="inlineStr">
        <is>
          <t>جمصه</t>
        </is>
      </c>
      <c r="J81" s="47" t="inlineStr">
        <is>
          <t>السيد بدوى</t>
        </is>
      </c>
    </row>
    <row r="82">
      <c r="D82" s="47" t="n"/>
      <c r="E82" s="47" t="n"/>
      <c r="F82" s="47" t="n"/>
      <c r="H82" s="47" t="inlineStr">
        <is>
          <t>اللوكس</t>
        </is>
      </c>
      <c r="I82" s="47" t="inlineStr">
        <is>
          <t>حلوان</t>
        </is>
      </c>
      <c r="J82" s="47" t="inlineStr">
        <is>
          <t>السيد بربرى</t>
        </is>
      </c>
    </row>
    <row r="83">
      <c r="D83" s="47" t="n"/>
      <c r="E83" s="47" t="n"/>
      <c r="F83" s="47" t="n"/>
      <c r="H83" s="47" t="inlineStr">
        <is>
          <t>المتحدة</t>
        </is>
      </c>
      <c r="I83" s="47" t="inlineStr">
        <is>
          <t>حوش عيسى</t>
        </is>
      </c>
      <c r="J83" s="47" t="inlineStr">
        <is>
          <t>السيد رزق</t>
        </is>
      </c>
    </row>
    <row r="84">
      <c r="D84" s="47" t="n"/>
      <c r="E84" s="47" t="n"/>
      <c r="F84" s="47" t="n"/>
      <c r="H84" s="47" t="inlineStr">
        <is>
          <t>المتحدة للمسابك</t>
        </is>
      </c>
      <c r="I84" s="47" t="inlineStr">
        <is>
          <t>دسوق</t>
        </is>
      </c>
      <c r="J84" s="47" t="inlineStr">
        <is>
          <t>الشريف</t>
        </is>
      </c>
    </row>
    <row r="85">
      <c r="D85" s="47" t="n"/>
      <c r="E85" s="47" t="n"/>
      <c r="F85" s="47" t="n"/>
      <c r="H85" s="47" t="inlineStr">
        <is>
          <t>المجد</t>
        </is>
      </c>
      <c r="I85" s="47" t="inlineStr">
        <is>
          <t>دمنهور</t>
        </is>
      </c>
      <c r="J85" s="47" t="inlineStr">
        <is>
          <t>الشهاوى</t>
        </is>
      </c>
    </row>
    <row r="86">
      <c r="D86" s="47" t="n"/>
      <c r="E86" s="47" t="n"/>
      <c r="F86" s="47" t="n"/>
      <c r="H86" s="47" t="inlineStr">
        <is>
          <t>المراعى الخضراء</t>
        </is>
      </c>
      <c r="I86" s="47" t="inlineStr">
        <is>
          <t>دمياط</t>
        </is>
      </c>
      <c r="J86" s="47" t="inlineStr">
        <is>
          <t>الشيخ سمير</t>
        </is>
      </c>
    </row>
    <row r="87">
      <c r="D87" s="47" t="n"/>
      <c r="E87" s="47" t="n"/>
      <c r="F87" s="47" t="n"/>
      <c r="H87" s="47" t="inlineStr">
        <is>
          <t>المستقبل</t>
        </is>
      </c>
      <c r="I87" s="47" t="inlineStr">
        <is>
          <t>دهشور</t>
        </is>
      </c>
      <c r="J87" s="47" t="inlineStr">
        <is>
          <t>الصاوى</t>
        </is>
      </c>
    </row>
    <row r="88">
      <c r="D88" s="47" t="n"/>
      <c r="E88" s="47" t="n"/>
      <c r="F88" s="47" t="n"/>
      <c r="H88" s="47" t="inlineStr">
        <is>
          <t>المستقبل للمواسير</t>
        </is>
      </c>
      <c r="I88" s="47" t="inlineStr">
        <is>
          <t>رشيد</t>
        </is>
      </c>
      <c r="J88" s="47" t="inlineStr">
        <is>
          <t>الصيفى</t>
        </is>
      </c>
    </row>
    <row r="89">
      <c r="D89" s="47" t="n"/>
      <c r="E89" s="47" t="n"/>
      <c r="F89" s="47" t="n"/>
      <c r="H89" s="47" t="inlineStr">
        <is>
          <t>المسعد</t>
        </is>
      </c>
      <c r="I89" s="47" t="inlineStr">
        <is>
          <t>سفاجا</t>
        </is>
      </c>
      <c r="J89" s="47" t="inlineStr">
        <is>
          <t>الضانى</t>
        </is>
      </c>
    </row>
    <row r="90">
      <c r="D90" s="47" t="n"/>
      <c r="E90" s="47" t="n"/>
      <c r="F90" s="47" t="n"/>
      <c r="H90" s="47" t="inlineStr">
        <is>
          <t>المصرية</t>
        </is>
      </c>
      <c r="I90" s="47" t="inlineStr">
        <is>
          <t>سموحة</t>
        </is>
      </c>
      <c r="J90" s="47" t="inlineStr">
        <is>
          <t>العاشر</t>
        </is>
      </c>
    </row>
    <row r="91">
      <c r="D91" s="47" t="n"/>
      <c r="E91" s="47" t="n"/>
      <c r="F91" s="47" t="n"/>
      <c r="H91" s="47" t="inlineStr">
        <is>
          <t>المصرية الاسبانية</t>
        </is>
      </c>
      <c r="I91" s="47" t="inlineStr">
        <is>
          <t>شبرا</t>
        </is>
      </c>
      <c r="J91" s="47" t="inlineStr">
        <is>
          <t>العراقى</t>
        </is>
      </c>
    </row>
    <row r="92">
      <c r="D92" s="47" t="n"/>
      <c r="E92" s="47" t="n"/>
      <c r="F92" s="47" t="n"/>
      <c r="H92" s="47" t="inlineStr">
        <is>
          <t>المصرية الاسترالية</t>
        </is>
      </c>
      <c r="I92" s="47" t="inlineStr">
        <is>
          <t>شبرا / ج م نصر</t>
        </is>
      </c>
      <c r="J92" s="47" t="inlineStr">
        <is>
          <t>العرباوى</t>
        </is>
      </c>
    </row>
    <row r="93">
      <c r="D93" s="47" t="n"/>
      <c r="E93" s="47" t="n"/>
      <c r="F93" s="47" t="n"/>
      <c r="H93" s="47" t="inlineStr">
        <is>
          <t>المصرية الالمانية</t>
        </is>
      </c>
      <c r="I93" s="47" t="inlineStr">
        <is>
          <t>شبرا الخيمة</t>
        </is>
      </c>
      <c r="J93" s="47" t="inlineStr">
        <is>
          <t>الغامرى</t>
        </is>
      </c>
    </row>
    <row r="94">
      <c r="D94" s="47" t="n"/>
      <c r="E94" s="47" t="n"/>
      <c r="F94" s="47" t="n"/>
      <c r="H94" s="47" t="inlineStr">
        <is>
          <t>المصرية الاوربية</t>
        </is>
      </c>
      <c r="I94" s="47" t="inlineStr">
        <is>
          <t>شبرا منت</t>
        </is>
      </c>
      <c r="J94" s="47" t="inlineStr">
        <is>
          <t>الفرجانى</t>
        </is>
      </c>
    </row>
    <row r="95">
      <c r="D95" s="47" t="n"/>
      <c r="E95" s="47" t="n"/>
      <c r="F95" s="47" t="n"/>
      <c r="H95" s="47" t="inlineStr">
        <is>
          <t>المصرية السعودية</t>
        </is>
      </c>
      <c r="I95" s="47" t="inlineStr">
        <is>
          <t>شبراملس</t>
        </is>
      </c>
      <c r="J95" s="47" t="inlineStr">
        <is>
          <t>القناوى</t>
        </is>
      </c>
    </row>
    <row r="96">
      <c r="D96" s="47" t="n"/>
      <c r="E96" s="47" t="n"/>
      <c r="F96" s="47" t="n"/>
      <c r="H96" s="47" t="inlineStr">
        <is>
          <t>المصرية اليابانية</t>
        </is>
      </c>
      <c r="I96" s="47" t="inlineStr">
        <is>
          <t>شبين الكوم</t>
        </is>
      </c>
      <c r="J96" s="47" t="inlineStr">
        <is>
          <t>الليبر</t>
        </is>
      </c>
    </row>
    <row r="97">
      <c r="D97" s="47" t="n"/>
      <c r="E97" s="47" t="n"/>
      <c r="F97" s="47" t="n"/>
      <c r="H97" s="47" t="inlineStr">
        <is>
          <t>المصرية للتريكو</t>
        </is>
      </c>
      <c r="I97" s="47" t="inlineStr">
        <is>
          <t>شق التعبان</t>
        </is>
      </c>
      <c r="J97" s="47" t="inlineStr">
        <is>
          <t>المعداوى</t>
        </is>
      </c>
    </row>
    <row r="98">
      <c r="D98" s="47" t="n"/>
      <c r="E98" s="47" t="n"/>
      <c r="F98" s="47" t="n"/>
      <c r="H98" s="47" t="inlineStr">
        <is>
          <t>المصرية للصناعات</t>
        </is>
      </c>
      <c r="I98" s="47" t="inlineStr">
        <is>
          <t>ط التحدى</t>
        </is>
      </c>
      <c r="J98" s="47" t="inlineStr">
        <is>
          <t>المكتب</t>
        </is>
      </c>
    </row>
    <row r="99">
      <c r="D99" s="47" t="n"/>
      <c r="E99" s="47" t="n"/>
      <c r="F99" s="47" t="n"/>
      <c r="H99" s="47" t="inlineStr">
        <is>
          <t>المصرية للغزل</t>
        </is>
      </c>
      <c r="I99" s="47" t="inlineStr">
        <is>
          <t>طنطا</t>
        </is>
      </c>
      <c r="J99" s="47" t="inlineStr">
        <is>
          <t>المهندس</t>
        </is>
      </c>
    </row>
    <row r="100">
      <c r="D100" s="47" t="n"/>
      <c r="E100" s="47" t="n"/>
      <c r="F100" s="47" t="n"/>
      <c r="H100" s="47" t="inlineStr">
        <is>
          <t>المصرية للفحم</t>
        </is>
      </c>
      <c r="I100" s="47" t="inlineStr">
        <is>
          <t>عرب مساعد</t>
        </is>
      </c>
      <c r="J100" s="47" t="inlineStr">
        <is>
          <t>الميت</t>
        </is>
      </c>
    </row>
    <row r="101">
      <c r="D101" s="47" t="n"/>
      <c r="E101" s="47" t="n"/>
      <c r="F101" s="47" t="n"/>
      <c r="H101" s="47" t="inlineStr">
        <is>
          <t>المصرية لمستلزمات للتكيفات</t>
        </is>
      </c>
      <c r="I101" s="47" t="inlineStr">
        <is>
          <t>ق الاسد /</t>
        </is>
      </c>
      <c r="J101" s="47" t="inlineStr">
        <is>
          <t>النوبى</t>
        </is>
      </c>
    </row>
    <row r="102">
      <c r="D102" s="47" t="n"/>
      <c r="E102" s="47" t="n"/>
      <c r="F102" s="47" t="n"/>
      <c r="H102" s="47" t="inlineStr">
        <is>
          <t>المصرية ميدكال</t>
        </is>
      </c>
      <c r="I102" s="47" t="inlineStr">
        <is>
          <t>قها</t>
        </is>
      </c>
      <c r="J102" s="47" t="inlineStr">
        <is>
          <t>الوردانى</t>
        </is>
      </c>
    </row>
    <row r="103">
      <c r="D103" s="47" t="n"/>
      <c r="E103" s="47" t="n"/>
      <c r="F103" s="47" t="n"/>
      <c r="H103" s="47" t="inlineStr">
        <is>
          <t>المصرية ميديكال</t>
        </is>
      </c>
      <c r="I103" s="47" t="inlineStr">
        <is>
          <t>قويسنا</t>
        </is>
      </c>
      <c r="J103" s="47" t="inlineStr">
        <is>
          <t>انور</t>
        </is>
      </c>
    </row>
    <row r="104">
      <c r="D104" s="47" t="n"/>
      <c r="E104" s="47" t="n"/>
      <c r="F104" s="47" t="n"/>
      <c r="H104" s="47" t="inlineStr">
        <is>
          <t>المصريه الالمانيه</t>
        </is>
      </c>
      <c r="I104" s="47" t="inlineStr">
        <is>
          <t>ك 113</t>
        </is>
      </c>
      <c r="J104" s="47" t="inlineStr">
        <is>
          <t>انور الشريف</t>
        </is>
      </c>
    </row>
    <row r="105">
      <c r="D105" s="47" t="n"/>
      <c r="E105" s="47" t="n"/>
      <c r="F105" s="47" t="n"/>
      <c r="H105" s="47" t="inlineStr">
        <is>
          <t>المعمار</t>
        </is>
      </c>
      <c r="I105" s="47" t="inlineStr">
        <is>
          <t>ك الدوار</t>
        </is>
      </c>
      <c r="J105" s="47" t="inlineStr">
        <is>
          <t>اوبرا</t>
        </is>
      </c>
    </row>
    <row r="106">
      <c r="D106" s="47" t="n"/>
      <c r="E106" s="47" t="n"/>
      <c r="F106" s="47" t="n"/>
      <c r="H106" s="47" t="inlineStr">
        <is>
          <t>المعمار للاسلاك</t>
        </is>
      </c>
      <c r="I106" s="47" t="inlineStr">
        <is>
          <t>ك الزيات</t>
        </is>
      </c>
      <c r="J106" s="47" t="inlineStr">
        <is>
          <t>اوشة</t>
        </is>
      </c>
    </row>
    <row r="107">
      <c r="D107" s="47" t="n"/>
      <c r="E107" s="47" t="n"/>
      <c r="F107" s="47" t="n"/>
      <c r="H107" s="47" t="inlineStr">
        <is>
          <t>المكارم تكس</t>
        </is>
      </c>
      <c r="I107" s="47" t="inlineStr">
        <is>
          <t>ك حمادة</t>
        </is>
      </c>
      <c r="J107" s="47" t="inlineStr">
        <is>
          <t>ايمن الزقزق</t>
        </is>
      </c>
    </row>
    <row r="108">
      <c r="D108" s="47" t="n"/>
      <c r="E108" s="47" t="n"/>
      <c r="F108" s="47" t="n"/>
      <c r="H108" s="47" t="inlineStr">
        <is>
          <t>الملكة والامير</t>
        </is>
      </c>
      <c r="I108" s="47" t="inlineStr">
        <is>
          <t>ك شكر</t>
        </is>
      </c>
      <c r="J108" s="47" t="inlineStr">
        <is>
          <t>ايمن الزوقزوق</t>
        </is>
      </c>
    </row>
    <row r="109">
      <c r="D109" s="47" t="n"/>
      <c r="E109" s="47" t="n"/>
      <c r="F109" s="47" t="n"/>
      <c r="H109" s="47" t="inlineStr">
        <is>
          <t>المنسى</t>
        </is>
      </c>
      <c r="I109" s="47" t="inlineStr">
        <is>
          <t>كتوبر</t>
        </is>
      </c>
      <c r="J109" s="47" t="inlineStr">
        <is>
          <t>ايمن جيدا</t>
        </is>
      </c>
    </row>
    <row r="110">
      <c r="D110" s="47" t="n"/>
      <c r="E110" s="47" t="n"/>
      <c r="F110" s="47" t="n"/>
      <c r="H110" s="47" t="inlineStr">
        <is>
          <t>الموندو</t>
        </is>
      </c>
      <c r="I110" s="47" t="inlineStr">
        <is>
          <t>كفر الدوار</t>
        </is>
      </c>
      <c r="J110" s="47" t="inlineStr">
        <is>
          <t>ايمن جيدة</t>
        </is>
      </c>
    </row>
    <row r="111">
      <c r="D111" s="47" t="n"/>
      <c r="E111" s="47" t="n"/>
      <c r="F111" s="47" t="n"/>
      <c r="H111" s="47" t="inlineStr">
        <is>
          <t>النخلة تكس</t>
        </is>
      </c>
      <c r="I111" s="47" t="inlineStr">
        <is>
          <t>كفر شكر السعد</t>
        </is>
      </c>
      <c r="J111" s="47" t="inlineStr">
        <is>
          <t>ايمن حبش</t>
        </is>
      </c>
    </row>
    <row r="112">
      <c r="D112" s="47" t="n"/>
      <c r="E112" s="47" t="n"/>
      <c r="F112" s="47" t="n"/>
      <c r="H112" s="47" t="inlineStr">
        <is>
          <t>النهاد</t>
        </is>
      </c>
      <c r="I112" s="47" t="inlineStr">
        <is>
          <t>م بدر</t>
        </is>
      </c>
      <c r="J112" s="47" t="inlineStr">
        <is>
          <t>ايمن رمضان</t>
        </is>
      </c>
    </row>
    <row r="113">
      <c r="D113" s="47" t="n"/>
      <c r="E113" s="47" t="n"/>
      <c r="F113" s="47" t="n"/>
      <c r="H113" s="47" t="inlineStr">
        <is>
          <t>النوبارية</t>
        </is>
      </c>
      <c r="I113" s="47" t="inlineStr">
        <is>
          <t>م حرة</t>
        </is>
      </c>
      <c r="J113" s="47" t="inlineStr">
        <is>
          <t>ايمن مسعد</t>
        </is>
      </c>
    </row>
    <row r="114">
      <c r="D114" s="47" t="n"/>
      <c r="E114" s="47" t="n"/>
      <c r="F114" s="47" t="n"/>
      <c r="H114" s="47" t="inlineStr">
        <is>
          <t>النور</t>
        </is>
      </c>
      <c r="I114" s="47" t="inlineStr">
        <is>
          <t>م حرة / ابو قير</t>
        </is>
      </c>
      <c r="J114" s="47" t="inlineStr">
        <is>
          <t>ايمن منير</t>
        </is>
      </c>
    </row>
    <row r="115">
      <c r="D115" s="47" t="n"/>
      <c r="E115" s="47" t="n"/>
      <c r="F115" s="47" t="n"/>
      <c r="H115" s="47" t="inlineStr">
        <is>
          <t>النيل</t>
        </is>
      </c>
      <c r="I115" s="47" t="inlineStr">
        <is>
          <t>م دينا</t>
        </is>
      </c>
      <c r="J115" s="47" t="inlineStr">
        <is>
          <t>ايو مينا</t>
        </is>
      </c>
    </row>
    <row r="116">
      <c r="D116" s="47" t="n"/>
      <c r="E116" s="47" t="n"/>
      <c r="F116" s="47" t="n"/>
      <c r="H116" s="47" t="inlineStr">
        <is>
          <t>الهندسية للصناعات</t>
        </is>
      </c>
      <c r="I116" s="47" t="inlineStr">
        <is>
          <t>م نصر</t>
        </is>
      </c>
      <c r="J116" s="47" t="inlineStr">
        <is>
          <t>ايوب</t>
        </is>
      </c>
    </row>
    <row r="117">
      <c r="D117" s="47" t="n"/>
      <c r="E117" s="47" t="n"/>
      <c r="F117" s="47" t="n"/>
      <c r="H117" s="47" t="inlineStr">
        <is>
          <t>الوفاق</t>
        </is>
      </c>
      <c r="I117" s="47" t="inlineStr">
        <is>
          <t>مؤسسة الذكاة</t>
        </is>
      </c>
      <c r="J117" s="47" t="inlineStr">
        <is>
          <t>برح العرب</t>
        </is>
      </c>
    </row>
    <row r="118">
      <c r="D118" s="47" t="n"/>
      <c r="E118" s="47" t="n"/>
      <c r="F118" s="47" t="n"/>
      <c r="H118" s="47" t="inlineStr">
        <is>
          <t>الوكس</t>
        </is>
      </c>
      <c r="I118" s="47" t="inlineStr">
        <is>
          <t>محرم بك</t>
        </is>
      </c>
      <c r="J118" s="47" t="inlineStr">
        <is>
          <t>بلاك هورس</t>
        </is>
      </c>
    </row>
    <row r="119">
      <c r="D119" s="47" t="n"/>
      <c r="E119" s="47" t="n"/>
      <c r="F119" s="47" t="n"/>
      <c r="H119" s="47" t="inlineStr">
        <is>
          <t>ام اى</t>
        </is>
      </c>
      <c r="I119" s="47" t="inlineStr">
        <is>
          <t>مد بدر</t>
        </is>
      </c>
      <c r="J119" s="47" t="inlineStr">
        <is>
          <t>بنى سويف</t>
        </is>
      </c>
    </row>
    <row r="120">
      <c r="D120" s="47" t="n"/>
      <c r="E120" s="47" t="n"/>
      <c r="F120" s="47" t="n"/>
      <c r="H120" s="47" t="inlineStr">
        <is>
          <t>ام كى</t>
        </is>
      </c>
      <c r="I120" s="47" t="inlineStr">
        <is>
          <t>مدينه نصر</t>
        </is>
      </c>
      <c r="J120" s="47" t="inlineStr">
        <is>
          <t>ثابت</t>
        </is>
      </c>
    </row>
    <row r="121">
      <c r="D121" s="47" t="n"/>
      <c r="E121" s="47" t="n"/>
      <c r="F121" s="47" t="n"/>
      <c r="H121" s="47" t="inlineStr">
        <is>
          <t>ان اوتو</t>
        </is>
      </c>
      <c r="I121" s="47" t="inlineStr">
        <is>
          <t>مركز بدر</t>
        </is>
      </c>
      <c r="J121" s="47" t="inlineStr">
        <is>
          <t>جبص</t>
        </is>
      </c>
    </row>
    <row r="122">
      <c r="D122" s="47" t="n"/>
      <c r="E122" s="47" t="n"/>
      <c r="F122" s="47" t="n"/>
      <c r="H122" s="47" t="inlineStr">
        <is>
          <t>انالسيز</t>
        </is>
      </c>
      <c r="I122" s="47" t="inlineStr">
        <is>
          <t>مزارع دينا</t>
        </is>
      </c>
      <c r="J122" s="47" t="inlineStr">
        <is>
          <t>حبص</t>
        </is>
      </c>
    </row>
    <row r="123">
      <c r="D123" s="47" t="n"/>
      <c r="E123" s="47" t="n"/>
      <c r="F123" s="47" t="n"/>
      <c r="H123" s="47" t="inlineStr">
        <is>
          <t>انتراكو</t>
        </is>
      </c>
      <c r="I123" s="47" t="inlineStr">
        <is>
          <t>مطوبس</t>
        </is>
      </c>
      <c r="J123" s="47" t="inlineStr">
        <is>
          <t>حتاتة</t>
        </is>
      </c>
    </row>
    <row r="124">
      <c r="D124" s="47" t="n"/>
      <c r="E124" s="47" t="n"/>
      <c r="F124" s="47" t="n"/>
      <c r="H124" s="47" t="inlineStr">
        <is>
          <t>انتراكوا</t>
        </is>
      </c>
      <c r="I124" s="47" t="inlineStr">
        <is>
          <t>منيا القمح</t>
        </is>
      </c>
      <c r="J124" s="47" t="inlineStr">
        <is>
          <t>حديدة</t>
        </is>
      </c>
    </row>
    <row r="125">
      <c r="D125" s="47" t="n"/>
      <c r="E125" s="47" t="n"/>
      <c r="F125" s="47" t="n"/>
      <c r="H125" s="47" t="inlineStr">
        <is>
          <t>انترباك</t>
        </is>
      </c>
      <c r="I125" s="47" t="inlineStr">
        <is>
          <t>ميت غمر</t>
        </is>
      </c>
      <c r="J125" s="47" t="inlineStr">
        <is>
          <t>حسام حشمت</t>
        </is>
      </c>
    </row>
    <row r="126">
      <c r="D126" s="47" t="n"/>
      <c r="E126" s="47" t="n"/>
      <c r="F126" s="47" t="n"/>
      <c r="H126" s="47" t="inlineStr">
        <is>
          <t>انترناشونال</t>
        </is>
      </c>
      <c r="I126" s="47" t="inlineStr">
        <is>
          <t>مينا القمح</t>
        </is>
      </c>
      <c r="J126" s="47" t="inlineStr">
        <is>
          <t>حسن حسان</t>
        </is>
      </c>
    </row>
    <row r="127">
      <c r="D127" s="47" t="n"/>
      <c r="E127" s="47" t="n"/>
      <c r="F127" s="47" t="n"/>
      <c r="H127" s="47" t="inlineStr">
        <is>
          <t>انترواكو</t>
        </is>
      </c>
      <c r="I127" s="47" t="inlineStr">
        <is>
          <t>وادى النطرون</t>
        </is>
      </c>
      <c r="J127" s="47" t="inlineStr">
        <is>
          <t>حسين</t>
        </is>
      </c>
    </row>
    <row r="128">
      <c r="D128" s="47" t="n"/>
      <c r="E128" s="47" t="n"/>
      <c r="F128" s="47" t="n"/>
      <c r="H128" s="47" t="inlineStr">
        <is>
          <t>انجنيرنج</t>
        </is>
      </c>
      <c r="I128" s="47" t="n"/>
      <c r="J128" s="47" t="inlineStr">
        <is>
          <t>حماة الكحكى</t>
        </is>
      </c>
    </row>
    <row r="129">
      <c r="D129" s="47" t="n"/>
      <c r="E129" s="47" t="n"/>
      <c r="F129" s="47" t="n"/>
      <c r="H129" s="47" t="inlineStr">
        <is>
          <t>انرجى فيجن</t>
        </is>
      </c>
      <c r="I129" s="47" t="n"/>
      <c r="J129" s="47" t="inlineStr">
        <is>
          <t>حمادة الصعيدى</t>
        </is>
      </c>
    </row>
    <row r="130">
      <c r="D130" s="47" t="n"/>
      <c r="E130" s="47" t="n"/>
      <c r="F130" s="47" t="n"/>
      <c r="H130" s="47" t="inlineStr">
        <is>
          <t>انرجيا</t>
        </is>
      </c>
      <c r="I130" s="47" t="n"/>
      <c r="J130" s="47" t="inlineStr">
        <is>
          <t>حمادة الطوخى</t>
        </is>
      </c>
    </row>
    <row r="131">
      <c r="D131" s="47" t="n"/>
      <c r="E131" s="47" t="n"/>
      <c r="F131" s="47" t="n"/>
      <c r="H131" s="47" t="inlineStr">
        <is>
          <t>انرجين فيجن</t>
        </is>
      </c>
      <c r="I131" s="47" t="n"/>
      <c r="J131" s="47" t="inlineStr">
        <is>
          <t>حمادة ذكى</t>
        </is>
      </c>
    </row>
    <row r="132">
      <c r="D132" s="47" t="n"/>
      <c r="E132" s="47" t="n"/>
      <c r="F132" s="47" t="n"/>
      <c r="H132" s="47" t="inlineStr">
        <is>
          <t>او ان تى</t>
        </is>
      </c>
      <c r="I132" s="47" t="n"/>
      <c r="J132" s="47" t="inlineStr">
        <is>
          <t>حمادة مصطفى</t>
        </is>
      </c>
    </row>
    <row r="133">
      <c r="D133" s="47" t="n"/>
      <c r="E133" s="47" t="n"/>
      <c r="F133" s="47" t="n"/>
      <c r="H133" s="47" t="inlineStr">
        <is>
          <t>اوبال شعراوى</t>
        </is>
      </c>
      <c r="I133" s="47" t="n"/>
      <c r="J133" s="47" t="inlineStr">
        <is>
          <t>حماده خليف</t>
        </is>
      </c>
    </row>
    <row r="134">
      <c r="D134" s="47" t="n"/>
      <c r="E134" s="47" t="n"/>
      <c r="F134" s="47" t="n"/>
      <c r="H134" s="47" t="inlineStr">
        <is>
          <t>اورجانيك</t>
        </is>
      </c>
      <c r="I134" s="47" t="n"/>
      <c r="J134" s="47" t="inlineStr">
        <is>
          <t>حمدى</t>
        </is>
      </c>
    </row>
    <row r="135">
      <c r="D135" s="47" t="n"/>
      <c r="E135" s="47" t="n"/>
      <c r="F135" s="47" t="n"/>
      <c r="H135" s="47" t="inlineStr">
        <is>
          <t>اورجنيك</t>
        </is>
      </c>
      <c r="I135" s="47" t="n"/>
      <c r="J135" s="47" t="inlineStr">
        <is>
          <t>حمدى البيضة</t>
        </is>
      </c>
    </row>
    <row r="136">
      <c r="D136" s="47" t="n"/>
      <c r="E136" s="47" t="n"/>
      <c r="F136" s="47" t="n"/>
      <c r="H136" s="47" t="inlineStr">
        <is>
          <t>اوركيد</t>
        </is>
      </c>
      <c r="I136" s="47" t="n"/>
      <c r="J136" s="47" t="inlineStr">
        <is>
          <t>حمو البيبى</t>
        </is>
      </c>
    </row>
    <row r="137">
      <c r="D137" s="47" t="n"/>
      <c r="E137" s="47" t="n"/>
      <c r="F137" s="47" t="n"/>
      <c r="H137" s="47" t="inlineStr">
        <is>
          <t>اورماتيك</t>
        </is>
      </c>
      <c r="I137" s="47" t="n"/>
      <c r="J137" s="47" t="inlineStr">
        <is>
          <t>حمو مرزوق</t>
        </is>
      </c>
    </row>
    <row r="138">
      <c r="D138" s="47" t="n"/>
      <c r="E138" s="47" t="n"/>
      <c r="F138" s="47" t="n"/>
      <c r="H138" s="47" t="inlineStr">
        <is>
          <t>اورينات</t>
        </is>
      </c>
      <c r="I138" s="47" t="n"/>
      <c r="J138" s="47" t="inlineStr">
        <is>
          <t>حميدو شكير</t>
        </is>
      </c>
    </row>
    <row r="139">
      <c r="D139" s="47" t="n"/>
      <c r="E139" s="47" t="n"/>
      <c r="F139" s="47" t="n"/>
      <c r="H139" s="47" t="inlineStr">
        <is>
          <t>اورينت</t>
        </is>
      </c>
      <c r="I139" s="47" t="n"/>
      <c r="J139" s="47" t="inlineStr">
        <is>
          <t>حودة اوباما</t>
        </is>
      </c>
    </row>
    <row r="140">
      <c r="D140" s="47" t="n"/>
      <c r="E140" s="47" t="n"/>
      <c r="F140" s="47" t="n"/>
      <c r="H140" s="47" t="inlineStr">
        <is>
          <t>اورينتال</t>
        </is>
      </c>
      <c r="I140" s="47" t="n"/>
      <c r="J140" s="47" t="inlineStr">
        <is>
          <t>حودة خليف</t>
        </is>
      </c>
    </row>
    <row r="141">
      <c r="D141" s="47" t="n"/>
      <c r="E141" s="47" t="n"/>
      <c r="F141" s="47" t="n"/>
      <c r="H141" s="47" t="inlineStr">
        <is>
          <t>اون اوتو</t>
        </is>
      </c>
      <c r="I141" s="47" t="n"/>
      <c r="J141" s="47" t="inlineStr">
        <is>
          <t>حودة شارون</t>
        </is>
      </c>
    </row>
    <row r="142">
      <c r="D142" s="47" t="n"/>
      <c r="E142" s="47" t="n"/>
      <c r="F142" s="47" t="n"/>
      <c r="H142" s="47" t="inlineStr">
        <is>
          <t>اى اى او</t>
        </is>
      </c>
      <c r="I142" s="47" t="n"/>
      <c r="J142" s="47" t="inlineStr">
        <is>
          <t>حودة صالح</t>
        </is>
      </c>
    </row>
    <row r="143">
      <c r="D143" s="47" t="n"/>
      <c r="E143" s="47" t="n"/>
      <c r="F143" s="47" t="n"/>
      <c r="H143" s="47" t="inlineStr">
        <is>
          <t>اى تى او</t>
        </is>
      </c>
      <c r="I143" s="47" t="n"/>
      <c r="J143" s="47" t="inlineStr">
        <is>
          <t>حودة عز</t>
        </is>
      </c>
    </row>
    <row r="144">
      <c r="D144" s="47" t="n"/>
      <c r="E144" s="47" t="n"/>
      <c r="F144" s="47" t="n"/>
      <c r="H144" s="47" t="inlineStr">
        <is>
          <t>اية اس</t>
        </is>
      </c>
      <c r="I144" s="47" t="n"/>
      <c r="J144" s="47" t="inlineStr">
        <is>
          <t>حودة عيد</t>
        </is>
      </c>
    </row>
    <row r="145">
      <c r="D145" s="47" t="n"/>
      <c r="E145" s="47" t="n"/>
      <c r="F145" s="47" t="n"/>
      <c r="H145" s="47" t="inlineStr">
        <is>
          <t>اية اس او</t>
        </is>
      </c>
      <c r="I145" s="47" t="n"/>
      <c r="J145" s="47" t="inlineStr">
        <is>
          <t>حودة مصرية</t>
        </is>
      </c>
    </row>
    <row r="146">
      <c r="D146" s="47" t="n"/>
      <c r="E146" s="47" t="n"/>
      <c r="F146" s="47" t="n"/>
      <c r="H146" s="47" t="inlineStr">
        <is>
          <t>ايتال دور</t>
        </is>
      </c>
      <c r="I146" s="47" t="n"/>
      <c r="J146" s="47" t="inlineStr">
        <is>
          <t>حودة منعم</t>
        </is>
      </c>
    </row>
    <row r="147">
      <c r="D147" s="47" t="n"/>
      <c r="E147" s="47" t="n"/>
      <c r="F147" s="47" t="n"/>
      <c r="H147" s="47" t="inlineStr">
        <is>
          <t>ايتامكو</t>
        </is>
      </c>
      <c r="I147" s="47" t="n"/>
      <c r="J147" s="47" t="inlineStr">
        <is>
          <t>حودة نصرية</t>
        </is>
      </c>
    </row>
    <row r="148">
      <c r="D148" s="47" t="n"/>
      <c r="E148" s="47" t="n"/>
      <c r="F148" s="47" t="n"/>
      <c r="H148" s="47" t="inlineStr">
        <is>
          <t>ايجل فون</t>
        </is>
      </c>
      <c r="I148" s="47" t="n"/>
      <c r="J148" s="47" t="inlineStr">
        <is>
          <t>خالد اسماعيل</t>
        </is>
      </c>
    </row>
    <row r="149">
      <c r="D149" s="47" t="n"/>
      <c r="E149" s="47" t="n"/>
      <c r="F149" s="47" t="n"/>
      <c r="H149" s="47" t="inlineStr">
        <is>
          <t>ايجل واى</t>
        </is>
      </c>
      <c r="I149" s="47" t="n"/>
      <c r="J149" s="47" t="inlineStr">
        <is>
          <t>خالد غيث</t>
        </is>
      </c>
    </row>
    <row r="150">
      <c r="D150" s="47" t="n"/>
      <c r="E150" s="47" t="n"/>
      <c r="F150" s="47" t="n"/>
      <c r="H150" s="47" t="inlineStr">
        <is>
          <t>ايجى كلاس</t>
        </is>
      </c>
      <c r="I150" s="47" t="n"/>
      <c r="J150" s="47" t="inlineStr">
        <is>
          <t>خطاب</t>
        </is>
      </c>
    </row>
    <row r="151">
      <c r="D151" s="47" t="n"/>
      <c r="E151" s="47" t="n"/>
      <c r="F151" s="47" t="n"/>
      <c r="H151" s="47" t="inlineStr">
        <is>
          <t>ايدن فودز</t>
        </is>
      </c>
      <c r="I151" s="47" t="n"/>
      <c r="J151" s="47" t="inlineStr">
        <is>
          <t>خفاجة</t>
        </is>
      </c>
    </row>
    <row r="152">
      <c r="D152" s="47" t="n"/>
      <c r="E152" s="47" t="n"/>
      <c r="F152" s="47" t="n"/>
      <c r="H152" s="47" t="inlineStr">
        <is>
          <t>ايديال ستاندر</t>
        </is>
      </c>
      <c r="I152" s="47" t="n"/>
      <c r="J152" s="47" t="inlineStr">
        <is>
          <t>خليف</t>
        </is>
      </c>
    </row>
    <row r="153">
      <c r="D153" s="47" t="n"/>
      <c r="E153" s="47" t="n"/>
      <c r="F153" s="47" t="n"/>
      <c r="H153" s="47" t="inlineStr">
        <is>
          <t>ايزو مصر</t>
        </is>
      </c>
      <c r="I153" s="47" t="n"/>
      <c r="J153" s="47" t="inlineStr">
        <is>
          <t>خميس البنا</t>
        </is>
      </c>
    </row>
    <row r="154">
      <c r="D154" s="47" t="n"/>
      <c r="E154" s="47" t="n"/>
      <c r="F154" s="47" t="n"/>
      <c r="H154" s="47" t="inlineStr">
        <is>
          <t>ايزيس</t>
        </is>
      </c>
      <c r="I154" s="47" t="n"/>
      <c r="J154" s="47" t="inlineStr">
        <is>
          <t>خوليف</t>
        </is>
      </c>
    </row>
    <row r="155">
      <c r="D155" s="47" t="n"/>
      <c r="E155" s="47" t="n"/>
      <c r="F155" s="47" t="n"/>
      <c r="H155" s="47" t="inlineStr">
        <is>
          <t>ايقون</t>
        </is>
      </c>
      <c r="I155" s="47" t="n"/>
      <c r="J155" s="47" t="inlineStr">
        <is>
          <t>رامى الميت</t>
        </is>
      </c>
    </row>
    <row r="156">
      <c r="D156" s="47" t="n"/>
      <c r="E156" s="47" t="n"/>
      <c r="F156" s="47" t="n"/>
      <c r="H156" s="47" t="inlineStr">
        <is>
          <t>ايه كيه اتشى</t>
        </is>
      </c>
      <c r="I156" s="47" t="n"/>
      <c r="J156" s="47" t="inlineStr">
        <is>
          <t>رباح</t>
        </is>
      </c>
    </row>
    <row r="157">
      <c r="D157" s="47" t="n"/>
      <c r="E157" s="47" t="n"/>
      <c r="F157" s="47" t="n"/>
      <c r="H157" s="47" t="inlineStr">
        <is>
          <t>بافريا</t>
        </is>
      </c>
      <c r="I157" s="47" t="n"/>
      <c r="J157" s="47" t="inlineStr">
        <is>
          <t>رباح الصيفى</t>
        </is>
      </c>
    </row>
    <row r="158">
      <c r="D158" s="47" t="n"/>
      <c r="E158" s="47" t="n"/>
      <c r="F158" s="47" t="n"/>
      <c r="H158" s="47" t="inlineStr">
        <is>
          <t>براندايد</t>
        </is>
      </c>
      <c r="I158" s="47" t="n"/>
      <c r="J158" s="47" t="inlineStr">
        <is>
          <t>رمضان</t>
        </is>
      </c>
    </row>
    <row r="159">
      <c r="D159" s="47" t="n"/>
      <c r="E159" s="47" t="n"/>
      <c r="F159" s="47" t="n"/>
      <c r="H159" s="47" t="inlineStr">
        <is>
          <t>برتاية</t>
        </is>
      </c>
      <c r="I159" s="47" t="n"/>
      <c r="J159" s="47" t="inlineStr">
        <is>
          <t>رمضان الصاوى</t>
        </is>
      </c>
    </row>
    <row r="160">
      <c r="D160" s="47" t="n"/>
      <c r="E160" s="47" t="n"/>
      <c r="F160" s="47" t="n"/>
      <c r="H160" s="47" t="inlineStr">
        <is>
          <t>برستيج</t>
        </is>
      </c>
      <c r="I160" s="47" t="n"/>
      <c r="J160" s="47" t="inlineStr">
        <is>
          <t>رودينا</t>
        </is>
      </c>
    </row>
    <row r="161">
      <c r="D161" s="47" t="n"/>
      <c r="E161" s="47" t="n"/>
      <c r="F161" s="47" t="n"/>
      <c r="H161" s="47" t="inlineStr">
        <is>
          <t>برفكت</t>
        </is>
      </c>
      <c r="I161" s="47" t="n"/>
      <c r="J161" s="47" t="inlineStr">
        <is>
          <t>رومانى</t>
        </is>
      </c>
    </row>
    <row r="162">
      <c r="D162" s="47" t="n"/>
      <c r="E162" s="47" t="n"/>
      <c r="F162" s="47" t="n"/>
      <c r="H162" s="47" t="inlineStr">
        <is>
          <t>بريف مان</t>
        </is>
      </c>
      <c r="I162" s="47" t="n"/>
      <c r="J162" s="47" t="inlineStr">
        <is>
          <t>روماني</t>
        </is>
      </c>
    </row>
    <row r="163">
      <c r="D163" s="47" t="n"/>
      <c r="E163" s="47" t="n"/>
      <c r="F163" s="47" t="n"/>
      <c r="H163" s="47" t="inlineStr">
        <is>
          <t>بريلى</t>
        </is>
      </c>
      <c r="I163" s="47" t="n"/>
      <c r="J163" s="47" t="inlineStr">
        <is>
          <t>سامح الصول</t>
        </is>
      </c>
    </row>
    <row r="164">
      <c r="D164" s="47" t="n"/>
      <c r="E164" s="47" t="n"/>
      <c r="F164" s="47" t="n"/>
      <c r="H164" s="47" t="inlineStr">
        <is>
          <t>بلوم باك</t>
        </is>
      </c>
      <c r="I164" s="47" t="n"/>
      <c r="J164" s="47" t="inlineStr">
        <is>
          <t>سامى جمال</t>
        </is>
      </c>
    </row>
    <row r="165">
      <c r="D165" s="47" t="n"/>
      <c r="E165" s="47" t="n"/>
      <c r="F165" s="47" t="n"/>
      <c r="H165" s="47" t="inlineStr">
        <is>
          <t>بليسد تراى</t>
        </is>
      </c>
      <c r="I165" s="47" t="n"/>
      <c r="J165" s="47" t="inlineStr">
        <is>
          <t>سامى رمضان</t>
        </is>
      </c>
    </row>
    <row r="166">
      <c r="D166" s="47" t="n"/>
      <c r="E166" s="47" t="n"/>
      <c r="F166" s="47" t="n"/>
      <c r="H166" s="47" t="inlineStr">
        <is>
          <t>بليسد ترى</t>
        </is>
      </c>
      <c r="I166" s="47" t="n"/>
      <c r="J166" s="47" t="inlineStr">
        <is>
          <t>سعد الشحات</t>
        </is>
      </c>
    </row>
    <row r="167">
      <c r="D167" s="47" t="n"/>
      <c r="E167" s="47" t="n"/>
      <c r="F167" s="47" t="n"/>
      <c r="H167" s="47" t="inlineStr">
        <is>
          <t>بوت مان</t>
        </is>
      </c>
      <c r="I167" s="47" t="n"/>
      <c r="J167" s="47" t="inlineStr">
        <is>
          <t>سعد ماضى</t>
        </is>
      </c>
    </row>
    <row r="168">
      <c r="D168" s="47" t="n"/>
      <c r="E168" s="47" t="n"/>
      <c r="F168" s="47" t="n"/>
      <c r="H168" s="47" t="inlineStr">
        <is>
          <t>بوتمان</t>
        </is>
      </c>
      <c r="I168" s="47" t="n"/>
      <c r="J168" s="47" t="inlineStr">
        <is>
          <t>سعيد الاوربية</t>
        </is>
      </c>
    </row>
    <row r="169">
      <c r="D169" s="47" t="n"/>
      <c r="E169" s="47" t="n"/>
      <c r="F169" s="47" t="n"/>
      <c r="H169" s="47" t="inlineStr">
        <is>
          <t>بوليدو</t>
        </is>
      </c>
      <c r="I169" s="47" t="n"/>
      <c r="J169" s="47" t="inlineStr">
        <is>
          <t>سعيد التك</t>
        </is>
      </c>
    </row>
    <row r="170">
      <c r="D170" s="47" t="n"/>
      <c r="E170" s="47" t="n"/>
      <c r="F170" s="47" t="n"/>
      <c r="H170" s="47" t="inlineStr">
        <is>
          <t>بى سيفتى</t>
        </is>
      </c>
      <c r="I170" s="47" t="n"/>
      <c r="J170" s="47" t="inlineStr">
        <is>
          <t>سعيد قبارى</t>
        </is>
      </c>
    </row>
    <row r="171">
      <c r="D171" s="47" t="n"/>
      <c r="E171" s="47" t="n"/>
      <c r="F171" s="47" t="n"/>
      <c r="H171" s="47" t="inlineStr">
        <is>
          <t>بيك اجرى</t>
        </is>
      </c>
      <c r="I171" s="47" t="n"/>
      <c r="J171" s="47" t="inlineStr">
        <is>
          <t>سعيد قبيصى</t>
        </is>
      </c>
    </row>
    <row r="172">
      <c r="D172" s="47" t="n"/>
      <c r="E172" s="47" t="n"/>
      <c r="F172" s="47" t="n"/>
      <c r="H172" s="47" t="inlineStr">
        <is>
          <t>بيوند هوريزون</t>
        </is>
      </c>
      <c r="I172" s="47" t="n"/>
      <c r="J172" s="47" t="inlineStr">
        <is>
          <t>سلومة</t>
        </is>
      </c>
    </row>
    <row r="173">
      <c r="D173" s="47" t="n"/>
      <c r="E173" s="47" t="n"/>
      <c r="F173" s="47" t="n"/>
      <c r="H173" s="47" t="inlineStr">
        <is>
          <t>تايجل انوفيشن</t>
        </is>
      </c>
      <c r="I173" s="47" t="n"/>
      <c r="J173" s="47" t="inlineStr">
        <is>
          <t>سمارة</t>
        </is>
      </c>
    </row>
    <row r="174">
      <c r="D174" s="47" t="n"/>
      <c r="E174" s="47" t="n"/>
      <c r="F174" s="47" t="n"/>
      <c r="H174" s="47" t="inlineStr">
        <is>
          <t>تومكو</t>
        </is>
      </c>
      <c r="I174" s="47" t="n"/>
      <c r="J174" s="47" t="inlineStr">
        <is>
          <t>سمح خيشة</t>
        </is>
      </c>
    </row>
    <row r="175">
      <c r="D175" s="47" t="n"/>
      <c r="E175" s="47" t="n"/>
      <c r="F175" s="47" t="n"/>
      <c r="H175" s="47" t="inlineStr">
        <is>
          <t>تومكو للاستيراد</t>
        </is>
      </c>
      <c r="I175" s="47" t="n"/>
      <c r="J175" s="47" t="inlineStr">
        <is>
          <t>سمير بركة</t>
        </is>
      </c>
    </row>
    <row r="176">
      <c r="D176" s="47" t="n"/>
      <c r="E176" s="47" t="n"/>
      <c r="F176" s="47" t="n"/>
      <c r="H176" s="47" t="inlineStr">
        <is>
          <t>تى فارم</t>
        </is>
      </c>
      <c r="I176" s="47" t="n"/>
      <c r="J176" s="47" t="inlineStr">
        <is>
          <t>شارون</t>
        </is>
      </c>
    </row>
    <row r="177">
      <c r="D177" s="47" t="n"/>
      <c r="E177" s="47" t="n"/>
      <c r="F177" s="47" t="n"/>
      <c r="H177" s="47" t="inlineStr">
        <is>
          <t>جاب الله الباذ</t>
        </is>
      </c>
      <c r="I177" s="47" t="n"/>
      <c r="J177" s="47" t="inlineStr">
        <is>
          <t>شعبان</t>
        </is>
      </c>
    </row>
    <row r="178">
      <c r="D178" s="47" t="n"/>
      <c r="E178" s="47" t="n"/>
      <c r="F178" s="47" t="n"/>
      <c r="H178" s="47" t="inlineStr">
        <is>
          <t>جرين اب</t>
        </is>
      </c>
      <c r="I178" s="47" t="n"/>
      <c r="J178" s="47" t="inlineStr">
        <is>
          <t>شعبان البنا</t>
        </is>
      </c>
    </row>
    <row r="179">
      <c r="D179" s="47" t="n"/>
      <c r="E179" s="47" t="n"/>
      <c r="F179" s="47" t="n"/>
      <c r="H179" s="47" t="inlineStr">
        <is>
          <t>جرين بايو</t>
        </is>
      </c>
      <c r="I179" s="47" t="n"/>
      <c r="J179" s="47" t="inlineStr">
        <is>
          <t>صابر عاشور</t>
        </is>
      </c>
    </row>
    <row r="180">
      <c r="D180" s="47" t="n"/>
      <c r="E180" s="47" t="n"/>
      <c r="F180" s="47" t="n"/>
      <c r="H180" s="47" t="inlineStr">
        <is>
          <t>جرين لاند</t>
        </is>
      </c>
      <c r="I180" s="47" t="n"/>
      <c r="J180" s="47" t="inlineStr">
        <is>
          <t>صبحى الصعيدى</t>
        </is>
      </c>
    </row>
    <row r="181">
      <c r="D181" s="47" t="n"/>
      <c r="E181" s="47" t="n"/>
      <c r="F181" s="47" t="n"/>
      <c r="H181" s="47" t="inlineStr">
        <is>
          <t>جرين لاينز</t>
        </is>
      </c>
      <c r="I181" s="47" t="n"/>
      <c r="J181" s="47" t="inlineStr">
        <is>
          <t>صبحى جميل</t>
        </is>
      </c>
    </row>
    <row r="182">
      <c r="D182" s="47" t="n"/>
      <c r="E182" s="47" t="n"/>
      <c r="F182" s="47" t="n"/>
      <c r="H182" s="47" t="inlineStr">
        <is>
          <t>جرين ميدوز</t>
        </is>
      </c>
      <c r="I182" s="47" t="n"/>
      <c r="J182" s="47" t="inlineStr">
        <is>
          <t>صبرى خليفة</t>
        </is>
      </c>
    </row>
    <row r="183">
      <c r="D183" s="47" t="n"/>
      <c r="E183" s="47" t="n"/>
      <c r="F183" s="47" t="n"/>
      <c r="H183" s="47" t="inlineStr">
        <is>
          <t>جلوبال جرين</t>
        </is>
      </c>
      <c r="I183" s="47" t="n"/>
      <c r="J183" s="47" t="inlineStr">
        <is>
          <t>صفيحة</t>
        </is>
      </c>
    </row>
    <row r="184">
      <c r="D184" s="47" t="n"/>
      <c r="E184" s="47" t="n"/>
      <c r="F184" s="47" t="n"/>
      <c r="H184" s="47" t="inlineStr">
        <is>
          <t>جولدن اورينت</t>
        </is>
      </c>
      <c r="I184" s="47" t="n"/>
      <c r="J184" s="47" t="inlineStr">
        <is>
          <t>صقر</t>
        </is>
      </c>
    </row>
    <row r="185">
      <c r="D185" s="47" t="n"/>
      <c r="E185" s="47" t="n"/>
      <c r="F185" s="47" t="n"/>
      <c r="H185" s="47" t="inlineStr">
        <is>
          <t>جولدن فيو</t>
        </is>
      </c>
      <c r="I185" s="47" t="n"/>
      <c r="J185" s="47" t="inlineStr">
        <is>
          <t>صلاح الزوز</t>
        </is>
      </c>
    </row>
    <row r="186">
      <c r="D186" s="47" t="n"/>
      <c r="E186" s="47" t="n"/>
      <c r="F186" s="47" t="n"/>
      <c r="H186" s="47" t="inlineStr">
        <is>
          <t>جى فريش</t>
        </is>
      </c>
      <c r="I186" s="47" t="n"/>
      <c r="J186" s="47" t="inlineStr">
        <is>
          <t>صلاخ المهندس</t>
        </is>
      </c>
    </row>
    <row r="187">
      <c r="D187" s="47" t="n"/>
      <c r="E187" s="47" t="n"/>
      <c r="F187" s="47" t="n"/>
      <c r="H187" s="47" t="inlineStr">
        <is>
          <t>جيمستون</t>
        </is>
      </c>
      <c r="I187" s="47" t="n"/>
      <c r="J187" s="47" t="inlineStr">
        <is>
          <t>طارق الجمل</t>
        </is>
      </c>
    </row>
    <row r="188">
      <c r="D188" s="47" t="n"/>
      <c r="E188" s="47" t="n"/>
      <c r="F188" s="47" t="n"/>
      <c r="H188" s="47" t="inlineStr">
        <is>
          <t>حصن</t>
        </is>
      </c>
      <c r="I188" s="47" t="n"/>
      <c r="J188" s="47" t="inlineStr">
        <is>
          <t>طارق العراقى</t>
        </is>
      </c>
    </row>
    <row r="189">
      <c r="D189" s="47" t="n"/>
      <c r="E189" s="47" t="n"/>
      <c r="F189" s="47" t="n"/>
      <c r="H189" s="47" t="inlineStr">
        <is>
          <t>حلوانى اخوان</t>
        </is>
      </c>
      <c r="I189" s="47" t="n"/>
      <c r="J189" s="47" t="inlineStr">
        <is>
          <t>طارق زيدان</t>
        </is>
      </c>
    </row>
    <row r="190">
      <c r="D190" s="47" t="n"/>
      <c r="E190" s="47" t="n"/>
      <c r="F190" s="47" t="n"/>
      <c r="H190" s="47" t="inlineStr">
        <is>
          <t>خط المطابخ</t>
        </is>
      </c>
      <c r="I190" s="47" t="n"/>
      <c r="J190" s="47" t="inlineStr">
        <is>
          <t>عبد التواب</t>
        </is>
      </c>
    </row>
    <row r="191">
      <c r="D191" s="47" t="n"/>
      <c r="E191" s="47" t="n"/>
      <c r="F191" s="47" t="n"/>
      <c r="H191" s="47" t="inlineStr">
        <is>
          <t>خورى استاند</t>
        </is>
      </c>
      <c r="I191" s="47" t="n"/>
      <c r="J191" s="47" t="inlineStr">
        <is>
          <t>عبد الجواد</t>
        </is>
      </c>
    </row>
    <row r="192">
      <c r="D192" s="47" t="n"/>
      <c r="E192" s="47" t="n"/>
      <c r="F192" s="47" t="n"/>
      <c r="H192" s="47" t="inlineStr">
        <is>
          <t>خورى ستاند</t>
        </is>
      </c>
      <c r="I192" s="47" t="n"/>
      <c r="J192" s="47" t="inlineStr">
        <is>
          <t>عبد العال</t>
        </is>
      </c>
    </row>
    <row r="193">
      <c r="D193" s="47" t="n"/>
      <c r="E193" s="47" t="n"/>
      <c r="F193" s="47" t="n"/>
      <c r="H193" s="47" t="inlineStr">
        <is>
          <t>دانتى</t>
        </is>
      </c>
      <c r="I193" s="47" t="n"/>
      <c r="J193" s="47" t="inlineStr">
        <is>
          <t>عبد الغنى</t>
        </is>
      </c>
    </row>
    <row r="194">
      <c r="D194" s="47" t="n"/>
      <c r="E194" s="47" t="n"/>
      <c r="F194" s="47" t="n"/>
      <c r="H194" s="47" t="inlineStr">
        <is>
          <t>دلتا فلكس</t>
        </is>
      </c>
      <c r="I194" s="47" t="n"/>
      <c r="J194" s="47" t="inlineStr">
        <is>
          <t>عبد الله</t>
        </is>
      </c>
    </row>
    <row r="195">
      <c r="D195" s="47" t="n"/>
      <c r="E195" s="47" t="n"/>
      <c r="F195" s="47" t="n"/>
      <c r="H195" s="47" t="inlineStr">
        <is>
          <t>دلتا للتجارة</t>
        </is>
      </c>
      <c r="I195" s="47" t="n"/>
      <c r="J195" s="47" t="inlineStr">
        <is>
          <t>عبدة</t>
        </is>
      </c>
    </row>
    <row r="196">
      <c r="D196" s="47" t="n"/>
      <c r="E196" s="47" t="n"/>
      <c r="F196" s="47" t="n"/>
      <c r="H196" s="47" t="inlineStr">
        <is>
          <t>ذا رووك</t>
        </is>
      </c>
      <c r="I196" s="47" t="n"/>
      <c r="J196" s="47" t="inlineStr">
        <is>
          <t>عبدة الميت</t>
        </is>
      </c>
    </row>
    <row r="197">
      <c r="D197" s="47" t="n"/>
      <c r="E197" s="47" t="n"/>
      <c r="F197" s="47" t="n"/>
      <c r="H197" s="47" t="inlineStr">
        <is>
          <t>راضى الدولية</t>
        </is>
      </c>
      <c r="I197" s="47" t="n"/>
      <c r="J197" s="47" t="inlineStr">
        <is>
          <t>عبدة على</t>
        </is>
      </c>
    </row>
    <row r="198">
      <c r="D198" s="47" t="n"/>
      <c r="E198" s="47" t="n"/>
      <c r="F198" s="47" t="n"/>
      <c r="H198" s="47" t="inlineStr">
        <is>
          <t>راما للزيوت</t>
        </is>
      </c>
      <c r="I198" s="47" t="n"/>
      <c r="J198" s="47" t="inlineStr">
        <is>
          <t>عبدة كامل</t>
        </is>
      </c>
    </row>
    <row r="199">
      <c r="D199" s="47" t="n"/>
      <c r="E199" s="47" t="n"/>
      <c r="F199" s="47" t="n"/>
      <c r="H199" s="47" t="inlineStr">
        <is>
          <t>ريجينا</t>
        </is>
      </c>
      <c r="I199" s="47" t="n"/>
      <c r="J199" s="47" t="inlineStr">
        <is>
          <t>عبدة مصياح</t>
        </is>
      </c>
    </row>
    <row r="200">
      <c r="D200" s="47" t="n"/>
      <c r="E200" s="47" t="n"/>
      <c r="F200" s="47" t="n"/>
      <c r="H200" s="47" t="inlineStr">
        <is>
          <t>سامسونج</t>
        </is>
      </c>
      <c r="I200" s="47" t="n"/>
      <c r="J200" s="47" t="inlineStr">
        <is>
          <t>عتمان</t>
        </is>
      </c>
    </row>
    <row r="201">
      <c r="D201" s="47" t="n"/>
      <c r="E201" s="47" t="n"/>
      <c r="F201" s="47" t="n"/>
      <c r="H201" s="47" t="inlineStr">
        <is>
          <t>سفنكس</t>
        </is>
      </c>
      <c r="I201" s="47" t="n"/>
      <c r="J201" s="47" t="inlineStr">
        <is>
          <t>عرابى</t>
        </is>
      </c>
    </row>
    <row r="202">
      <c r="D202" s="47" t="n"/>
      <c r="E202" s="47" t="n"/>
      <c r="F202" s="47" t="n"/>
      <c r="H202" s="47" t="inlineStr">
        <is>
          <t>سفير</t>
        </is>
      </c>
      <c r="I202" s="47" t="n"/>
      <c r="J202" s="47" t="inlineStr">
        <is>
          <t>عزام</t>
        </is>
      </c>
    </row>
    <row r="203">
      <c r="D203" s="47" t="n"/>
      <c r="E203" s="47" t="n"/>
      <c r="F203" s="47" t="n"/>
      <c r="H203" s="47" t="inlineStr">
        <is>
          <t>سمارت</t>
        </is>
      </c>
      <c r="I203" s="47" t="n"/>
      <c r="J203" s="47" t="inlineStr">
        <is>
          <t>عزوز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9999"/>
    <outlinePr summaryBelow="1" summaryRight="1"/>
    <pageSetUpPr/>
  </sheetPr>
  <dimension ref="A1:F20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3" customWidth="1" min="4" max="4"/>
    <col width="3" customWidth="1" min="5" max="5"/>
    <col width="3" customWidth="1" min="6" max="6"/>
  </cols>
  <sheetData>
    <row r="1" ht="34" customHeight="1">
      <c r="A1" s="1" t="inlineStr">
        <is>
          <t>شركة المتوكل  —  دليل ملف التقفيل اليومي</t>
        </is>
      </c>
    </row>
    <row r="2" ht="20" customHeight="1">
      <c r="A2" s="3" t="inlineStr">
        <is>
          <t>اقرأ قبل الاستخدام</t>
        </is>
      </c>
    </row>
    <row r="3" ht="22" customHeight="1">
      <c r="B3" s="54" t="inlineStr">
        <is>
          <t>طريقة العمل اليومية</t>
        </is>
      </c>
    </row>
    <row r="4" ht="34" customHeight="1">
      <c r="B4" s="55" t="inlineStr">
        <is>
          <t>١) العهد والرحلات</t>
        </is>
      </c>
      <c r="C4" s="56" t="inlineStr">
        <is>
          <t>سجّل كل رحلة في صفحة (العهد والرحلات): التاريخ + عدد الحاويات + شركة الشحن + الشركة + الجهة + التوكيل + الميناء + مالك السيارة + مبلغ العهدة.</t>
        </is>
      </c>
    </row>
    <row r="5" ht="34" customHeight="1">
      <c r="B5" s="55" t="inlineStr">
        <is>
          <t>٢) الإيصالات</t>
        </is>
      </c>
      <c r="C5" s="56" t="inlineStr">
        <is>
          <t>سجّل كل إيصال في صفحة (الإيصالات): التاريخ + المبلغ + البيان/الجهة.</t>
        </is>
      </c>
    </row>
    <row r="6" ht="34" customHeight="1">
      <c r="B6" s="55" t="inlineStr">
        <is>
          <t>٣) سجل اليومية</t>
        </is>
      </c>
      <c r="C6" s="56" t="inlineStr">
        <is>
          <t>أضِف صفاً واحداً لكل يوم: اكتب (التاريخ) و(العهدة المستلمة) و(مصروفات أخرى إن وجدت). الباقي يُحسب تلقائياً ويترحّل الرصيد لليوم التالي.</t>
        </is>
      </c>
    </row>
    <row r="7" ht="34" customHeight="1">
      <c r="B7" s="55" t="inlineStr">
        <is>
          <t>٤) تقفيل اليوم</t>
        </is>
      </c>
      <c r="C7" s="56" t="inlineStr">
        <is>
          <t>افتح صفحة (تقفيل اليوم)، اكتب التاريخ في الخانة الصفراء، فيظهر تقفيل اليوم كامل جاهز للطباعة.</t>
        </is>
      </c>
    </row>
    <row r="9" ht="22" customHeight="1">
      <c r="B9" s="57" t="inlineStr">
        <is>
          <t>معادلة التقفيل</t>
        </is>
      </c>
    </row>
    <row r="10" ht="34" customHeight="1">
      <c r="B10" s="55" t="inlineStr">
        <is>
          <t>باقي عهدة سابق</t>
        </is>
      </c>
      <c r="C10" s="56" t="inlineStr">
        <is>
          <t>رصيد أمس المُرحَّل (وأول يوم = الرصيد الافتتاحي في صفحة الإعدادات).</t>
        </is>
      </c>
    </row>
    <row r="11" ht="34" customHeight="1">
      <c r="B11" s="55" t="inlineStr">
        <is>
          <t>إجمالي العهدة المتاحة</t>
        </is>
      </c>
      <c r="C11" s="56" t="inlineStr">
        <is>
          <t>باقي عهدة سابق + العهدة المستلمة اليوم.</t>
        </is>
      </c>
    </row>
    <row r="12" ht="34" customHeight="1">
      <c r="B12" s="55" t="inlineStr">
        <is>
          <t>إجمالي المصروف</t>
        </is>
      </c>
      <c r="C12" s="56" t="inlineStr">
        <is>
          <t>عهد الرحلات + الإيصالات + مصروفات أخرى.</t>
        </is>
      </c>
    </row>
    <row r="13" ht="34" customHeight="1">
      <c r="B13" s="55" t="inlineStr">
        <is>
          <t>رصيد مُرحَّل لليوم التالي</t>
        </is>
      </c>
      <c r="C13" s="56" t="inlineStr">
        <is>
          <t>إجمالي العهدة المتاحة ناقص إجمالي المصروف (لو ظهر أحمر يبقى فيه عجز عهدة).</t>
        </is>
      </c>
    </row>
    <row r="15" ht="22" customHeight="1">
      <c r="B15" s="59" t="inlineStr">
        <is>
          <t>القوائم والربط بالأساسي</t>
        </is>
      </c>
    </row>
    <row r="16" ht="34" customHeight="1">
      <c r="B16" s="55" t="inlineStr">
        <is>
          <t>قوائم من الأساسي</t>
        </is>
      </c>
      <c r="C16" s="56" t="inlineStr">
        <is>
          <t>الشركات + الجهات + ملاك السيارات نسخة محدَّثة من الملف الأساسي، مدمجة داخل هذا الملف — تظهر فوراً بدون أي روابط.</t>
        </is>
      </c>
    </row>
    <row r="17" ht="34" customHeight="1">
      <c r="B17" s="55" t="inlineStr">
        <is>
          <t>تحديث القوائم</t>
        </is>
      </c>
      <c r="C17" s="56" t="inlineStr">
        <is>
          <t>لما تضيف أسماء جديدة في الأساسي، شغّل سكربت المزامنة (sync_lists.py) فيحدّث القوائم هنا بدون ما يلمس بياناتك.</t>
        </is>
      </c>
    </row>
    <row r="18" ht="34" customHeight="1">
      <c r="B18" s="55" t="inlineStr">
        <is>
          <t>قوائم محلية</t>
        </is>
      </c>
      <c r="C18" s="56" t="inlineStr">
        <is>
          <t>شركة الشحن + التوكيل + الميناء قوائم خاصة بهذا الملف — عدّلها مباشرة في صفحة (الإعدادات).</t>
        </is>
      </c>
    </row>
    <row r="19" ht="34" customHeight="1">
      <c r="B19" s="55" t="inlineStr">
        <is>
          <t>الكتابة اليدوية</t>
        </is>
      </c>
      <c r="C19" s="56" t="inlineStr">
        <is>
          <t>القوائم للتسهيل فقط ولا تمنع الكتابة — تقدر تكتب أي اسم مش موجود في القائمة عادي.</t>
        </is>
      </c>
    </row>
    <row r="20" ht="34" customHeight="1">
      <c r="B20" s="55" t="inlineStr">
        <is>
          <t>ملاحظة</t>
        </is>
      </c>
      <c r="C20" s="56" t="inlineStr">
        <is>
          <t>ما فيش أي ارتباط بملف خارجي، فالملف يفتح لوحده من غير رسائل تحديث روابط.</t>
        </is>
      </c>
    </row>
  </sheetData>
  <mergeCells count="5">
    <mergeCell ref="A2:F2"/>
    <mergeCell ref="B15:C15"/>
    <mergeCell ref="B3:C3"/>
    <mergeCell ref="A1:F1"/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2026-07-07T12:02:03Z</dcterms:created>
  <dcterms:modified xmlns:dcterms="http://purl.org/dc/terms/" xmlns:xsi="http://www.w3.org/2001/XMLSchema-instance" xsi:type="dcterms:W3CDTF">2026-07-07T12:03:15Z</dcterms:modified>
</cp:coreProperties>
</file>